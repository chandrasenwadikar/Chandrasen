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/>
  <mc:AlternateContent xmlns:mc="http://schemas.openxmlformats.org/markup-compatibility/2006">
    <mc:Choice Requires="x15">
      <x15ac:absPath xmlns:x15ac="http://schemas.microsoft.com/office/spreadsheetml/2010/11/ac" url="C:\Users\chandrasen.wadikar\Desktop\"/>
    </mc:Choice>
  </mc:AlternateContent>
  <xr:revisionPtr revIDLastSave="0" documentId="13_ncr:1_{FC100AFC-D09D-4F82-BEF9-95F363F20B33}" xr6:coauthVersionLast="45" xr6:coauthVersionMax="45" xr10:uidLastSave="{00000000-0000-0000-0000-000000000000}"/>
  <bookViews>
    <workbookView xWindow="20370" yWindow="-120" windowWidth="19440" windowHeight="15000" activeTab="1" xr2:uid="{00000000-000D-0000-FFFF-FFFF00000000}"/>
  </bookViews>
  <sheets>
    <sheet name="Queries - RA" sheetId="3" r:id="rId1"/>
    <sheet name="Sheet1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24" i="4" l="1"/>
  <c r="M26" i="4" s="1"/>
  <c r="K27" i="4" s="1"/>
  <c r="Q22" i="4"/>
  <c r="K16" i="4"/>
  <c r="N14" i="4"/>
  <c r="F6" i="4"/>
  <c r="D7" i="4"/>
</calcChain>
</file>

<file path=xl/sharedStrings.xml><?xml version="1.0" encoding="utf-8"?>
<sst xmlns="http://schemas.openxmlformats.org/spreadsheetml/2006/main" count="55" uniqueCount="53">
  <si>
    <t>Customer Information</t>
  </si>
  <si>
    <t>Total Account Base</t>
  </si>
  <si>
    <t>Distribution of Accounts against Portfolios</t>
  </si>
  <si>
    <t>Total Delinquent Base</t>
  </si>
  <si>
    <t>% of Accounts against Portfolio</t>
  </si>
  <si>
    <t>Bucket wise Count - 30</t>
  </si>
  <si>
    <t>Bucket wise Count - 60</t>
  </si>
  <si>
    <t>Bucket wise Count - 90</t>
  </si>
  <si>
    <t>Bucket wise Count - 120</t>
  </si>
  <si>
    <t>Bucket wise Count - 150+</t>
  </si>
  <si>
    <t>% of Flow from Bucket 30 to 60</t>
  </si>
  <si>
    <t>% of Flow from Bucket 60 to above</t>
  </si>
  <si>
    <t>What paramters determine the Profile</t>
  </si>
  <si>
    <t>Is there any Application Scoring</t>
  </si>
  <si>
    <t>What is the Dunning Policy for following:</t>
  </si>
  <si>
    <t>Bucket 30</t>
  </si>
  <si>
    <t>Bucket 60</t>
  </si>
  <si>
    <t>Bucket 90</t>
  </si>
  <si>
    <t>Bucket 120</t>
  </si>
  <si>
    <t>Bucket 150+</t>
  </si>
  <si>
    <t>Seg1</t>
  </si>
  <si>
    <t>Seg2</t>
  </si>
  <si>
    <t>Seg3</t>
  </si>
  <si>
    <t>Seg4</t>
  </si>
  <si>
    <t>Product wise / Segment or Profile of Customers or its done based on Portfolio ?</t>
  </si>
  <si>
    <t>What is the cost of collections (% against collections?) for various Actions</t>
  </si>
  <si>
    <t>What is the Agency Cost of Collections</t>
  </si>
  <si>
    <t>When do you do Legal ?</t>
  </si>
  <si>
    <t>How many accounts in Legal, what are the different type of Legal Cases</t>
  </si>
  <si>
    <t>Predictive Analytics related queries: Assuming following are the Problem areas</t>
  </si>
  <si>
    <t>A. Knowing which is the most effective Channel for Bucket 30 Accounts? So that we can reduce cost and increase time to collect.</t>
  </si>
  <si>
    <t>B. Knowing the Propensity of Customer to pay, so that such accounts can be prioritized to improve the time to collect.</t>
  </si>
  <si>
    <t>What are the top 5 challenges faced in Debt Collections operations with respect to Cost, Resources and debt collection. Please explain.</t>
  </si>
  <si>
    <t>Which customers do you consider as Self Cure customers?</t>
  </si>
  <si>
    <t>The Logic to determine best channel is - identify the last channel/action which resulted in Cure of the account. Kindly comment on this logic.</t>
  </si>
  <si>
    <t>Do you have any payment collections centers? Do you think our 320,000 agent netowork can help in Cash drop facility.</t>
  </si>
  <si>
    <t>What are the different payment channels for customers? What is the % of payment on these channels? (Pre- Delinquent and Post Delinquent) - Ex: UPI, Wallets, Payment Gatways</t>
  </si>
  <si>
    <t>How do you think should the accounts be categorized /  distributed amongst your client base</t>
  </si>
  <si>
    <t>Do you pre-maturely allocate accounts to Agency or Legal, if yes, on what criteria?</t>
  </si>
  <si>
    <t>how many collectors / telecallers assined for tele calling, how many accounts per collector to call per day?</t>
  </si>
  <si>
    <t>how do you decide, whom to call first or in what order or in what priority?</t>
  </si>
  <si>
    <t>how would be determine the risk category of the account ex: type of loan (secured/unsecured, OS amount, etc…)</t>
  </si>
  <si>
    <t>how would you determine the ability of the customer to pay the debt (times delinquent but paid within bucket 1 or 2, Service/Occupation, Financial Background etc…)</t>
  </si>
  <si>
    <t>how would you determine the willingness of the customer to pay (other accounts in delinquency, credit bureau data, flow trends etc…)</t>
  </si>
  <si>
    <t>Technical Queries:</t>
  </si>
  <si>
    <t>Overall System Architecture</t>
  </si>
  <si>
    <t>External Data used for Customer Acquisition</t>
  </si>
  <si>
    <t>Any data warehouse existing in the bank</t>
  </si>
  <si>
    <t>d</t>
  </si>
  <si>
    <t>b</t>
  </si>
  <si>
    <t>r</t>
  </si>
  <si>
    <t>e</t>
  </si>
  <si>
    <t>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</si>
</sst>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705E7-96B8-42A7-BAEF-AB92FC95187F}">
  <dimension ref="A1:E50"/>
  <sheetViews>
    <sheetView workbookViewId="0">
      <selection activeCell="A7" sqref="A7"/>
    </sheetView>
  </sheetViews>
  <sheetFormatPr defaultRowHeight="15"/>
  <cols>
    <col min="1" max="1" width="39.140625" bestFit="1" customWidth="1"/>
    <col min="2" max="2" width="17.140625" customWidth="1"/>
  </cols>
  <sheetData>
    <row r="1" spans="1:5">
      <c r="A1" s="1" t="s">
        <v>0</v>
      </c>
    </row>
    <row r="2" spans="1:5">
      <c r="A2" t="s">
        <v>1</v>
      </c>
    </row>
    <row r="3" spans="1:5">
      <c r="A3" t="s">
        <v>2</v>
      </c>
    </row>
    <row r="4" spans="1:5">
      <c r="A4" s="2" t="s">
        <v>3</v>
      </c>
    </row>
    <row r="5" spans="1:5">
      <c r="A5" s="2" t="s">
        <v>4</v>
      </c>
    </row>
    <row r="6" spans="1:5">
      <c r="A6" s="2" t="s">
        <v>5</v>
      </c>
    </row>
    <row r="7" spans="1:5">
      <c r="A7" s="2" t="s">
        <v>6</v>
      </c>
    </row>
    <row r="8" spans="1:5">
      <c r="A8" s="2" t="s">
        <v>7</v>
      </c>
    </row>
    <row r="9" spans="1:5">
      <c r="A9" s="2" t="s">
        <v>8</v>
      </c>
    </row>
    <row r="10" spans="1:5">
      <c r="A10" s="2" t="s">
        <v>9</v>
      </c>
    </row>
    <row r="11" spans="1:5">
      <c r="A11" s="2" t="s">
        <v>10</v>
      </c>
    </row>
    <row r="12" spans="1:5">
      <c r="A12" s="2" t="s">
        <v>11</v>
      </c>
    </row>
    <row r="13" spans="1:5">
      <c r="A13" s="2" t="s">
        <v>24</v>
      </c>
    </row>
    <row r="14" spans="1:5">
      <c r="A14" s="2" t="s">
        <v>12</v>
      </c>
    </row>
    <row r="15" spans="1:5">
      <c r="A15" s="2" t="s">
        <v>13</v>
      </c>
    </row>
    <row r="16" spans="1:5">
      <c r="A16" s="2" t="s">
        <v>14</v>
      </c>
      <c r="B16" s="2" t="s">
        <v>20</v>
      </c>
      <c r="C16" s="2" t="s">
        <v>21</v>
      </c>
      <c r="D16" s="2" t="s">
        <v>22</v>
      </c>
      <c r="E16" s="2" t="s">
        <v>23</v>
      </c>
    </row>
    <row r="17" spans="1:1">
      <c r="A17" s="2" t="s">
        <v>15</v>
      </c>
    </row>
    <row r="18" spans="1:1">
      <c r="A18" s="2" t="s">
        <v>16</v>
      </c>
    </row>
    <row r="19" spans="1:1">
      <c r="A19" s="2" t="s">
        <v>17</v>
      </c>
    </row>
    <row r="20" spans="1:1">
      <c r="A20" s="2" t="s">
        <v>18</v>
      </c>
    </row>
    <row r="21" spans="1:1">
      <c r="A21" s="2" t="s">
        <v>19</v>
      </c>
    </row>
    <row r="22" spans="1:1">
      <c r="A22" s="2" t="s">
        <v>25</v>
      </c>
    </row>
    <row r="23" spans="1:1">
      <c r="A23" s="2" t="s">
        <v>26</v>
      </c>
    </row>
    <row r="24" spans="1:1">
      <c r="A24" s="2" t="s">
        <v>27</v>
      </c>
    </row>
    <row r="25" spans="1:1">
      <c r="A25" s="2" t="s">
        <v>28</v>
      </c>
    </row>
    <row r="26" spans="1:1">
      <c r="A26" s="2" t="s">
        <v>32</v>
      </c>
    </row>
    <row r="27" spans="1:1">
      <c r="A27" s="2" t="s">
        <v>36</v>
      </c>
    </row>
    <row r="28" spans="1:1">
      <c r="A28" s="2" t="s">
        <v>35</v>
      </c>
    </row>
    <row r="29" spans="1:1">
      <c r="A29" s="2"/>
    </row>
    <row r="31" spans="1:1">
      <c r="A31" s="1" t="s">
        <v>29</v>
      </c>
    </row>
    <row r="32" spans="1:1">
      <c r="A32" s="3" t="s">
        <v>30</v>
      </c>
    </row>
    <row r="33" spans="1:1">
      <c r="A33" s="2" t="s">
        <v>33</v>
      </c>
    </row>
    <row r="34" spans="1:1">
      <c r="A34" s="2" t="s">
        <v>34</v>
      </c>
    </row>
    <row r="35" spans="1:1">
      <c r="A35" s="2" t="s">
        <v>37</v>
      </c>
    </row>
    <row r="36" spans="1:1">
      <c r="A36" s="2" t="s">
        <v>38</v>
      </c>
    </row>
    <row r="37" spans="1:1">
      <c r="A37" s="2"/>
    </row>
    <row r="38" spans="1:1">
      <c r="A38" s="2"/>
    </row>
    <row r="39" spans="1:1">
      <c r="A39" s="3" t="s">
        <v>31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6" spans="1:1">
      <c r="A46" s="2"/>
    </row>
    <row r="47" spans="1:1">
      <c r="A47" s="1" t="s">
        <v>44</v>
      </c>
    </row>
    <row r="48" spans="1:1">
      <c r="A48" s="2" t="s">
        <v>45</v>
      </c>
    </row>
    <row r="49" spans="1:1">
      <c r="A49" s="2" t="s">
        <v>46</v>
      </c>
    </row>
    <row r="50" spans="1:1">
      <c r="A50" s="2" t="s">
        <v>47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317DD-627C-4C39-8A46-BCDE020DFCFC}">
  <dimension ref="D5:R27"/>
  <sheetViews>
    <sheetView tabSelected="1" workbookViewId="0">
      <selection activeCell="K29" sqref="K29"/>
    </sheetView>
  </sheetViews>
  <sheetFormatPr defaultRowHeight="15"/>
  <sheetData>
    <row r="5" spans="4:14">
      <c r="D5">
        <v>253466</v>
      </c>
    </row>
    <row r="6" spans="4:14">
      <c r="D6">
        <v>226930</v>
      </c>
      <c r="F6">
        <f>D6/11</f>
        <v>20630</v>
      </c>
    </row>
    <row r="7" spans="4:14">
      <c r="D7">
        <f>D5-D6</f>
        <v>26536</v>
      </c>
    </row>
    <row r="11" spans="4:14">
      <c r="I11">
        <v>135700</v>
      </c>
      <c r="N11">
        <v>1800</v>
      </c>
    </row>
    <row r="12" spans="4:14">
      <c r="N12">
        <v>300</v>
      </c>
    </row>
    <row r="13" spans="4:14">
      <c r="N13">
        <v>26536</v>
      </c>
    </row>
    <row r="14" spans="4:14">
      <c r="N14">
        <f>SUM(N11:N13)</f>
        <v>28636</v>
      </c>
    </row>
    <row r="16" spans="4:14">
      <c r="K16">
        <f>I11-N14</f>
        <v>107064</v>
      </c>
    </row>
    <row r="20" spans="11:18">
      <c r="M20">
        <v>55000</v>
      </c>
      <c r="N20" t="s">
        <v>51</v>
      </c>
      <c r="P20">
        <v>50000</v>
      </c>
    </row>
    <row r="21" spans="11:18">
      <c r="M21">
        <v>11000</v>
      </c>
      <c r="N21" t="s">
        <v>51</v>
      </c>
      <c r="Q21">
        <v>34000</v>
      </c>
      <c r="R21" t="s">
        <v>48</v>
      </c>
    </row>
    <row r="22" spans="11:18">
      <c r="M22">
        <v>15500</v>
      </c>
      <c r="N22" t="s">
        <v>50</v>
      </c>
      <c r="Q22">
        <f>P20-Q21</f>
        <v>16000</v>
      </c>
      <c r="R22" t="s">
        <v>49</v>
      </c>
    </row>
    <row r="23" spans="11:18">
      <c r="M23">
        <v>4000</v>
      </c>
      <c r="N23" t="s">
        <v>49</v>
      </c>
    </row>
    <row r="24" spans="11:18">
      <c r="M24">
        <f>SUM(M20:M23)</f>
        <v>85500</v>
      </c>
    </row>
    <row r="25" spans="11:18">
      <c r="M25">
        <v>5000</v>
      </c>
      <c r="N25" t="s">
        <v>52</v>
      </c>
    </row>
    <row r="26" spans="11:18">
      <c r="M26">
        <f>SUM(M24:M25)</f>
        <v>90500</v>
      </c>
    </row>
    <row r="27" spans="11:18">
      <c r="K27">
        <f>K16-M26</f>
        <v>16564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Queries - RA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Chandrasen Wadikar</dc:creator>
  <cp:lastModifiedBy>Chandrasen Wadikar</cp:lastModifiedBy>
  <dcterms:created xsi:type="dcterms:W3CDTF">2020-02-07T10:43:00Z</dcterms:created>
  <dcterms:modified xsi:type="dcterms:W3CDTF">2020-03-16T14:13:55Z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1033-11.2.0.9085</vt:lpwstr>
  </property>
</Properties>
</file>