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 filterPrivacy="1"/>
  <xr:revisionPtr revIDLastSave="0" documentId="13_ncr:1_{E07F9387-F33C-4BA8-9F54-4D9F5DE46875}" xr6:coauthVersionLast="28" xr6:coauthVersionMax="28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6" i="1" l="1"/>
  <c r="I66" i="1"/>
  <c r="G66" i="1"/>
  <c r="E66" i="1"/>
  <c r="P65" i="1"/>
  <c r="I65" i="1"/>
  <c r="G65" i="1"/>
  <c r="E65" i="1"/>
  <c r="P64" i="1"/>
  <c r="I64" i="1"/>
  <c r="G64" i="1"/>
  <c r="E64" i="1"/>
  <c r="P63" i="1"/>
  <c r="I63" i="1"/>
  <c r="G63" i="1"/>
  <c r="E63" i="1"/>
  <c r="P62" i="1"/>
  <c r="I62" i="1"/>
  <c r="G62" i="1"/>
  <c r="E62" i="1"/>
  <c r="P61" i="1"/>
  <c r="I61" i="1"/>
  <c r="G61" i="1"/>
  <c r="E61" i="1"/>
  <c r="P60" i="1"/>
  <c r="I60" i="1"/>
  <c r="G60" i="1"/>
  <c r="E60" i="1"/>
  <c r="P59" i="1"/>
  <c r="I59" i="1"/>
  <c r="G59" i="1"/>
  <c r="E59" i="1"/>
  <c r="P58" i="1"/>
  <c r="I58" i="1"/>
  <c r="G58" i="1"/>
  <c r="E58" i="1"/>
  <c r="I57" i="1"/>
  <c r="G57" i="1"/>
  <c r="E57" i="1"/>
  <c r="I56" i="1"/>
  <c r="G56" i="1"/>
  <c r="E56" i="1"/>
  <c r="P55" i="1"/>
  <c r="I55" i="1"/>
  <c r="G55" i="1"/>
  <c r="E55" i="1"/>
  <c r="P54" i="1"/>
  <c r="I54" i="1"/>
  <c r="G54" i="1"/>
  <c r="E54" i="1"/>
  <c r="P53" i="1"/>
  <c r="I53" i="1"/>
  <c r="G53" i="1"/>
  <c r="E53" i="1"/>
  <c r="P52" i="1"/>
  <c r="I52" i="1"/>
  <c r="G52" i="1"/>
  <c r="E52" i="1"/>
  <c r="P51" i="1"/>
  <c r="I51" i="1"/>
  <c r="G51" i="1"/>
  <c r="E51" i="1"/>
  <c r="P50" i="1"/>
  <c r="I50" i="1"/>
  <c r="G50" i="1"/>
  <c r="E50" i="1"/>
  <c r="P49" i="1"/>
  <c r="I49" i="1"/>
  <c r="G49" i="1"/>
  <c r="E49" i="1"/>
  <c r="P48" i="1"/>
  <c r="I48" i="1"/>
  <c r="G48" i="1"/>
  <c r="E48" i="1"/>
  <c r="P47" i="1"/>
  <c r="I47" i="1"/>
  <c r="G47" i="1"/>
  <c r="E47" i="1"/>
  <c r="P46" i="1"/>
  <c r="I46" i="1"/>
  <c r="G46" i="1"/>
  <c r="E46" i="1"/>
  <c r="P45" i="1"/>
  <c r="I45" i="1"/>
  <c r="G45" i="1"/>
  <c r="E45" i="1"/>
  <c r="P44" i="1"/>
  <c r="I44" i="1"/>
  <c r="G44" i="1"/>
  <c r="E44" i="1"/>
  <c r="P43" i="1"/>
  <c r="I43" i="1"/>
  <c r="G43" i="1"/>
  <c r="E43" i="1"/>
  <c r="P42" i="1"/>
  <c r="I42" i="1"/>
  <c r="G42" i="1"/>
  <c r="E42" i="1"/>
  <c r="P41" i="1"/>
  <c r="I41" i="1"/>
  <c r="G41" i="1"/>
  <c r="E41" i="1"/>
  <c r="P40" i="1"/>
  <c r="I40" i="1"/>
  <c r="G40" i="1"/>
  <c r="E40" i="1"/>
  <c r="P39" i="1"/>
  <c r="I39" i="1"/>
  <c r="G39" i="1"/>
  <c r="E39" i="1"/>
  <c r="P38" i="1"/>
  <c r="I38" i="1"/>
  <c r="G38" i="1"/>
  <c r="E38" i="1"/>
  <c r="P37" i="1"/>
  <c r="I37" i="1"/>
  <c r="G37" i="1"/>
  <c r="E37" i="1"/>
  <c r="P36" i="1"/>
  <c r="P35" i="1"/>
  <c r="P34" i="1"/>
  <c r="P33" i="1"/>
  <c r="I33" i="1"/>
  <c r="G33" i="1"/>
  <c r="E33" i="1"/>
  <c r="P32" i="1"/>
  <c r="P31" i="1"/>
  <c r="I31" i="1"/>
  <c r="G31" i="1"/>
  <c r="E31" i="1"/>
  <c r="P30" i="1"/>
  <c r="P29" i="1"/>
  <c r="I29" i="1"/>
  <c r="G29" i="1"/>
  <c r="E29" i="1"/>
  <c r="P28" i="1"/>
  <c r="P27" i="1"/>
  <c r="I27" i="1"/>
  <c r="G27" i="1"/>
  <c r="E27" i="1"/>
  <c r="P26" i="1"/>
  <c r="I26" i="1"/>
  <c r="G26" i="1"/>
  <c r="E26" i="1"/>
  <c r="P25" i="1"/>
  <c r="I25" i="1"/>
  <c r="G25" i="1"/>
  <c r="E25" i="1"/>
  <c r="P24" i="1"/>
  <c r="I24" i="1"/>
  <c r="G24" i="1"/>
  <c r="E24" i="1"/>
  <c r="P23" i="1"/>
  <c r="I23" i="1"/>
  <c r="G23" i="1"/>
  <c r="E23" i="1"/>
  <c r="P22" i="1"/>
  <c r="I22" i="1"/>
  <c r="G22" i="1"/>
  <c r="E22" i="1"/>
  <c r="P21" i="1"/>
  <c r="P20" i="1"/>
  <c r="I20" i="1"/>
  <c r="G20" i="1"/>
  <c r="E20" i="1"/>
  <c r="P19" i="1"/>
  <c r="I19" i="1"/>
  <c r="G19" i="1"/>
  <c r="E19" i="1"/>
  <c r="P18" i="1"/>
  <c r="I18" i="1"/>
  <c r="G18" i="1"/>
  <c r="E18" i="1"/>
  <c r="P17" i="1"/>
  <c r="P16" i="1"/>
  <c r="I16" i="1"/>
  <c r="G16" i="1"/>
  <c r="E16" i="1"/>
  <c r="P15" i="1"/>
  <c r="I15" i="1"/>
  <c r="G15" i="1"/>
  <c r="E15" i="1"/>
  <c r="P14" i="1"/>
  <c r="I14" i="1"/>
  <c r="G14" i="1"/>
  <c r="E14" i="1"/>
  <c r="P13" i="1"/>
  <c r="P12" i="1"/>
  <c r="I12" i="1"/>
  <c r="G12" i="1"/>
  <c r="E12" i="1"/>
  <c r="P11" i="1"/>
  <c r="I11" i="1"/>
  <c r="G11" i="1"/>
  <c r="E11" i="1"/>
  <c r="P10" i="1"/>
  <c r="I10" i="1"/>
  <c r="G10" i="1"/>
  <c r="E10" i="1"/>
  <c r="P9" i="1"/>
  <c r="I9" i="1"/>
  <c r="G9" i="1"/>
  <c r="E9" i="1"/>
  <c r="P8" i="1"/>
  <c r="I8" i="1"/>
  <c r="G8" i="1"/>
  <c r="E8" i="1"/>
  <c r="P7" i="1"/>
  <c r="I7" i="1"/>
  <c r="G7" i="1"/>
  <c r="E7" i="1"/>
  <c r="P6" i="1"/>
  <c r="I6" i="1"/>
  <c r="G6" i="1"/>
  <c r="E6" i="1"/>
  <c r="P5" i="1"/>
  <c r="I5" i="1"/>
  <c r="G5" i="1"/>
  <c r="E5" i="1"/>
  <c r="P4" i="1"/>
  <c r="I4" i="1"/>
  <c r="G4" i="1"/>
  <c r="E4" i="1"/>
  <c r="P3" i="1"/>
  <c r="I3" i="1"/>
  <c r="G3" i="1"/>
  <c r="E3" i="1"/>
  <c r="P2" i="1"/>
  <c r="M2" i="1"/>
  <c r="K2" i="1"/>
  <c r="I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3" authorId="0" shapeId="0" xr:uid="{8FD39E87-25F2-4CB0-A1B2-20645B9CAF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tentative efforts which we have spent on execution.
</t>
        </r>
      </text>
    </comment>
    <comment ref="L12" authorId="0" shapeId="0" xr:uid="{C3883242-E793-4CCF-B9C5-9091B478993B}">
      <text>
        <r>
          <rPr>
            <sz val="10"/>
            <rFont val="SimSun"/>
          </rPr>
          <t>Harshali.Sonawane:
1 NA</t>
        </r>
      </text>
    </comment>
    <comment ref="L14" authorId="0" shapeId="0" xr:uid="{02FFFCD8-A714-446B-910D-233F194F82A6}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3 TC Deffered</t>
        </r>
      </text>
    </comment>
    <comment ref="L15" authorId="0" shapeId="0" xr:uid="{889DB80E-F34D-43A8-B88B-CDE2C55626E2}">
      <text>
        <r>
          <rPr>
            <sz val="10"/>
            <rFont val="SimSun"/>
          </rPr>
          <t>Harshali.Sonawane:
43 Not Delivered
30 NA</t>
        </r>
      </text>
    </comment>
    <comment ref="L16" authorId="0" shapeId="0" xr:uid="{6871608E-E579-4471-9F76-613709A00208}">
      <text>
        <r>
          <rPr>
            <sz val="10"/>
            <rFont val="SimSun"/>
          </rPr>
          <t>Harshali.Sonawane:
5 Deferred</t>
        </r>
      </text>
    </comment>
    <comment ref="L19" authorId="0" shapeId="0" xr:uid="{53A06569-7DE7-468C-8BA1-80AFE6695F1F}">
      <text>
        <r>
          <rPr>
            <sz val="10"/>
            <rFont val="SimSun"/>
          </rPr>
          <t>Harshali.Sonawane:
1 Open Point</t>
        </r>
      </text>
    </comment>
    <comment ref="L32" authorId="0" shapeId="0" xr:uid="{5E7040A1-5220-45BE-809A-7D4ACD54CBF1}">
      <text>
        <r>
          <rPr>
            <sz val="10"/>
            <rFont val="SimSun"/>
          </rPr>
          <t>Harshali.Sonawane:
1 NA</t>
        </r>
      </text>
    </comment>
    <comment ref="L37" authorId="0" shapeId="0" xr:uid="{C458C5F4-244B-458D-AD24-685884A2BC9D}">
      <text>
        <r>
          <rPr>
            <sz val="10"/>
            <rFont val="SimSun"/>
          </rPr>
          <t xml:space="preserve">Harshali.Sonawane:
7 NA
</t>
        </r>
      </text>
    </comment>
  </commentList>
</comments>
</file>

<file path=xl/sharedStrings.xml><?xml version="1.0" encoding="utf-8"?>
<sst xmlns="http://schemas.openxmlformats.org/spreadsheetml/2006/main" count="170" uniqueCount="99">
  <si>
    <t>Project Name</t>
  </si>
  <si>
    <t>PA PM/Lead</t>
  </si>
  <si>
    <t>No. of Defects Reported by PA</t>
  </si>
  <si>
    <t>No. of defects reported in UAT</t>
  </si>
  <si>
    <t>% UAT Defect Leakage</t>
  </si>
  <si>
    <t>Total Functional defect (wrt total defects)</t>
  </si>
  <si>
    <t>% Functional defect (wrt total defects)</t>
  </si>
  <si>
    <t>Total Defects Open</t>
  </si>
  <si>
    <t>Defect Re-open%</t>
  </si>
  <si>
    <t>Total Test case  Created</t>
  </si>
  <si>
    <t>Time taken to Create Test cases (in hrs)</t>
  </si>
  <si>
    <t>Total Test cases Executed</t>
  </si>
  <si>
    <t>Time taken to Execute Test cases (in hrs)</t>
  </si>
  <si>
    <t>Total No. Of project requirements</t>
  </si>
  <si>
    <t>No of Requirements tested</t>
  </si>
  <si>
    <t>Requirements coverage %</t>
  </si>
  <si>
    <t>DHFL LMS</t>
  </si>
  <si>
    <t>Chandrasen/Rajit</t>
  </si>
  <si>
    <t>MRHFL LOS</t>
  </si>
  <si>
    <t>Chandrasen Wadikar</t>
  </si>
  <si>
    <t>Clix LMS -  LACR</t>
  </si>
  <si>
    <t>Chandrasen Wadikar / Govind</t>
  </si>
  <si>
    <t>Clix LMS -  FINTECH 1</t>
  </si>
  <si>
    <t>Clix LMS -  FINTECH 2</t>
  </si>
  <si>
    <t>RBL LMS - Pre-payment to be allowed on Graded EMI cases : Approved CR</t>
  </si>
  <si>
    <t>RBL LMS -RBL_LMS_UAT : disbursement cancellation enhancements</t>
  </si>
  <si>
    <t>VFS - CR 119849</t>
  </si>
  <si>
    <t>Tejas</t>
  </si>
  <si>
    <t>VFS - CR 121668</t>
  </si>
  <si>
    <t>VFS - CR 119845</t>
  </si>
  <si>
    <t>VFS - CR 126563</t>
  </si>
  <si>
    <t>VFS - CR 139642</t>
  </si>
  <si>
    <t>VFS - CR RM Global</t>
  </si>
  <si>
    <t>VFS - CR GST</t>
  </si>
  <si>
    <t>VFS - CR 127989</t>
  </si>
  <si>
    <t>VFS - CR 148438</t>
  </si>
  <si>
    <t>VFS - CR 118134</t>
  </si>
  <si>
    <t>VFS - CR 106053</t>
  </si>
  <si>
    <t>VFS - CR 115001</t>
  </si>
  <si>
    <t>VFS - CR 107129</t>
  </si>
  <si>
    <t xml:space="preserve">VFS - CR 114996 </t>
  </si>
  <si>
    <t xml:space="preserve">VFS - CR 107240 </t>
  </si>
  <si>
    <t>VFS - CR 105237</t>
  </si>
  <si>
    <t>VFS - CR 137961</t>
  </si>
  <si>
    <t>Family Bank - CR 137966</t>
  </si>
  <si>
    <t>Family Bank - CR 144520</t>
  </si>
  <si>
    <t>Family Bank - CR 118376</t>
  </si>
  <si>
    <t>Family Bank - CR 119455</t>
  </si>
  <si>
    <t>Family Bank - CR 119442</t>
  </si>
  <si>
    <t>Family Bank - CR 119516</t>
  </si>
  <si>
    <t>Family Bank - CR 119519</t>
  </si>
  <si>
    <t>Family Bank - CR 119601</t>
  </si>
  <si>
    <t>Family Bank - CR 121447</t>
  </si>
  <si>
    <t>Family Bank - CR 158537</t>
  </si>
  <si>
    <t>Family Bank - CR 135828</t>
  </si>
  <si>
    <t>VWFS - CR00251</t>
  </si>
  <si>
    <t>ABFL - Udyog Integration Download</t>
  </si>
  <si>
    <t>ABFL - Jboss Upgradation + Workflow Upgradation</t>
  </si>
  <si>
    <t>ABFL - Code Drop 5 - Phase 1</t>
  </si>
  <si>
    <t>ABFL - NSDL and Softcell Integration</t>
  </si>
  <si>
    <t>ABFL - GST Implementation</t>
  </si>
  <si>
    <t>ABFL - Hunter Integartion</t>
  </si>
  <si>
    <t>ABFL - NPA Accounting</t>
  </si>
  <si>
    <t>ABFL - Advance EMI</t>
  </si>
  <si>
    <t>ABFL - CMS Issue Fixes</t>
  </si>
  <si>
    <t>ABFL - Pre-EMI deduct from disbursement</t>
  </si>
  <si>
    <t>ABFL - SKR Updation</t>
  </si>
  <si>
    <t>ABFL - CRM Changes</t>
  </si>
  <si>
    <t xml:space="preserve">ABFL - ABFL_HUNTER_APSNOTIFICATION
</t>
  </si>
  <si>
    <t>ABFL - Hunter Request Consolidation</t>
  </si>
  <si>
    <t>ABFL - H2H NEFT Rejection Handling</t>
  </si>
  <si>
    <t>VISTAAR - CR Foreclosure -Phase I</t>
  </si>
  <si>
    <t>Bala</t>
  </si>
  <si>
    <t>VISTAAR - CR Foreclosure -Phase II</t>
  </si>
  <si>
    <t>VISTAAR - CR SBBD Changes</t>
  </si>
  <si>
    <t xml:space="preserve">Volvo - CR Finance Lease </t>
  </si>
  <si>
    <t>Volvo - CR Hybrid</t>
  </si>
  <si>
    <t>IDFC - Display of LOS charges in SOA</t>
  </si>
  <si>
    <t>IDFC - BPI Enhancement</t>
  </si>
  <si>
    <t>IDFC GST Testing</t>
  </si>
  <si>
    <t>IDFC -Virtual Accounting Entries Automation</t>
  </si>
  <si>
    <t>IDFC - NACH EMI Holiday Master and Refund Reini</t>
  </si>
  <si>
    <t>Marcis -Webservice testing</t>
  </si>
  <si>
    <t>JMF LOS</t>
  </si>
  <si>
    <t>Senthil</t>
  </si>
  <si>
    <t>JMF LMS</t>
  </si>
  <si>
    <t>BFL Collections</t>
  </si>
  <si>
    <t>OOB Portfolio</t>
  </si>
  <si>
    <t>GST Changes</t>
  </si>
  <si>
    <t>Product Change</t>
  </si>
  <si>
    <t>Attach Existing Collateral</t>
  </si>
  <si>
    <t>Bridge Loan</t>
  </si>
  <si>
    <t>Split Disbursement</t>
  </si>
  <si>
    <t>Reject Review Cooling</t>
  </si>
  <si>
    <t>DSA Profile</t>
  </si>
  <si>
    <t>Perfios</t>
  </si>
  <si>
    <t>BT TOP and Send Back</t>
  </si>
  <si>
    <t>Audit Tracker</t>
  </si>
  <si>
    <t>PL Workflow Simplification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</si>
</sst>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9.6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SimSun"/>
    </font>
    <font>
      <b/>
      <sz val="9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0" fillId="7" borderId="0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wrapText="1"/>
    </xf>
    <xf numFmtId="0" fontId="4" fillId="8" borderId="8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center" vertical="center" wrapText="1"/>
    </xf>
    <xf numFmtId="1" fontId="4" fillId="8" borderId="8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top"/>
    </xf>
    <xf numFmtId="0" fontId="4" fillId="8" borderId="8" xfId="0" applyFont="1" applyFill="1" applyBorder="1" applyAlignment="1">
      <alignment horizontal="left" wrapText="1"/>
    </xf>
    <xf numFmtId="0" fontId="4" fillId="8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5" borderId="10" xfId="0" applyFill="1" applyBorder="1" applyAlignment="1">
      <alignment horizontal="center" vertical="top"/>
    </xf>
    <xf numFmtId="0" fontId="5" fillId="9" borderId="10" xfId="1" applyFont="1" applyFill="1" applyBorder="1" applyAlignment="1">
      <alignment vertical="top"/>
    </xf>
    <xf numFmtId="0" fontId="4" fillId="9" borderId="10" xfId="1" applyFont="1" applyFill="1" applyBorder="1" applyAlignment="1">
      <alignment horizontal="left" vertical="center" wrapText="1"/>
    </xf>
    <xf numFmtId="0" fontId="5" fillId="0" borderId="10" xfId="1" applyFont="1" applyFill="1" applyBorder="1" applyAlignment="1">
      <alignment horizontal="center" vertical="top"/>
    </xf>
    <xf numFmtId="0" fontId="1" fillId="5" borderId="10" xfId="1" applyFill="1" applyBorder="1" applyAlignment="1">
      <alignment horizontal="center" vertical="top"/>
    </xf>
    <xf numFmtId="0" fontId="1" fillId="0" borderId="0" xfId="1" applyAlignment="1">
      <alignment horizontal="center" vertical="top"/>
    </xf>
    <xf numFmtId="0" fontId="6" fillId="9" borderId="10" xfId="1" applyFont="1" applyFill="1" applyBorder="1" applyAlignment="1"/>
    <xf numFmtId="0" fontId="5" fillId="9" borderId="10" xfId="1" applyFont="1" applyFill="1" applyBorder="1" applyAlignment="1"/>
  </cellXfs>
  <cellStyles count="2">
    <cellStyle name="Normal" xfId="0" builtinId="0"/>
    <cellStyle name="Normal 2" xfId="1" xr:uid="{56B1DDE0-D887-45C3-B4AD-F54CDA436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J17" sqref="J17"/>
    </sheetView>
  </sheetViews>
  <sheetFormatPr defaultRowHeight="15" x14ac:dyDescent="0.25"/>
  <sheetData>
    <row r="1" spans="1:16" ht="90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3" t="s">
        <v>15</v>
      </c>
    </row>
    <row r="2" spans="1:16" x14ac:dyDescent="0.25">
      <c r="A2" s="14" t="s">
        <v>16</v>
      </c>
      <c r="B2" s="14" t="s">
        <v>17</v>
      </c>
      <c r="C2" s="15">
        <v>500</v>
      </c>
      <c r="D2" s="15"/>
      <c r="E2" s="16"/>
      <c r="F2" s="15">
        <v>489</v>
      </c>
      <c r="G2" s="16">
        <f t="shared" ref="G2:G51" si="0">F2*100/C2</f>
        <v>97.8</v>
      </c>
      <c r="H2" s="15">
        <v>54</v>
      </c>
      <c r="I2" s="16">
        <f t="shared" ref="I2:I52" si="1">H2*100/C2</f>
        <v>10.8</v>
      </c>
      <c r="J2" s="15">
        <v>578</v>
      </c>
      <c r="K2" s="15">
        <f>4*6*2*8</f>
        <v>384</v>
      </c>
      <c r="L2" s="15">
        <v>496</v>
      </c>
      <c r="M2" s="15">
        <f>90*2*8</f>
        <v>1440</v>
      </c>
      <c r="N2" s="15">
        <v>72</v>
      </c>
      <c r="O2" s="15">
        <v>72</v>
      </c>
      <c r="P2" s="16">
        <f>O2*100/N2</f>
        <v>100</v>
      </c>
    </row>
    <row r="3" spans="1:16" x14ac:dyDescent="0.25">
      <c r="A3" s="14" t="s">
        <v>18</v>
      </c>
      <c r="B3" s="14" t="s">
        <v>19</v>
      </c>
      <c r="C3" s="15">
        <v>2948</v>
      </c>
      <c r="D3" s="15">
        <v>305</v>
      </c>
      <c r="E3" s="17">
        <f>D3*100/(D3+C3)</f>
        <v>9.3759606517061176</v>
      </c>
      <c r="F3" s="15">
        <v>1421</v>
      </c>
      <c r="G3" s="17">
        <f t="shared" si="0"/>
        <v>48.202170963364992</v>
      </c>
      <c r="H3" s="15">
        <v>231</v>
      </c>
      <c r="I3" s="17">
        <f t="shared" si="1"/>
        <v>7.8358208955223878</v>
      </c>
      <c r="J3" s="15">
        <v>3964</v>
      </c>
      <c r="K3" s="15">
        <v>450</v>
      </c>
      <c r="L3" s="15">
        <v>3258</v>
      </c>
      <c r="M3" s="15">
        <v>1600</v>
      </c>
      <c r="N3" s="18">
        <v>68</v>
      </c>
      <c r="O3" s="18">
        <v>68</v>
      </c>
      <c r="P3" s="16">
        <f t="shared" ref="P3:P52" si="2">O3*100/N3</f>
        <v>100</v>
      </c>
    </row>
    <row r="4" spans="1:16" x14ac:dyDescent="0.25">
      <c r="A4" s="19" t="s">
        <v>20</v>
      </c>
      <c r="B4" s="14" t="s">
        <v>21</v>
      </c>
      <c r="C4" s="15">
        <v>31</v>
      </c>
      <c r="D4" s="15">
        <v>0</v>
      </c>
      <c r="E4" s="17">
        <f>D4*100/(D4+C4)</f>
        <v>0</v>
      </c>
      <c r="F4" s="15">
        <v>30</v>
      </c>
      <c r="G4" s="17">
        <f t="shared" si="0"/>
        <v>96.774193548387103</v>
      </c>
      <c r="H4" s="15">
        <v>1</v>
      </c>
      <c r="I4" s="17">
        <f t="shared" si="1"/>
        <v>3.225806451612903</v>
      </c>
      <c r="J4" s="15">
        <v>57</v>
      </c>
      <c r="K4" s="15">
        <v>36</v>
      </c>
      <c r="L4" s="15">
        <v>57</v>
      </c>
      <c r="M4" s="15">
        <v>180</v>
      </c>
      <c r="N4" s="15">
        <v>10</v>
      </c>
      <c r="O4" s="15">
        <v>10</v>
      </c>
      <c r="P4" s="17">
        <f t="shared" si="2"/>
        <v>100</v>
      </c>
    </row>
    <row r="5" spans="1:16" x14ac:dyDescent="0.25">
      <c r="A5" s="19" t="s">
        <v>22</v>
      </c>
      <c r="B5" s="14" t="s">
        <v>21</v>
      </c>
      <c r="C5" s="15">
        <v>14</v>
      </c>
      <c r="D5" s="15">
        <v>0</v>
      </c>
      <c r="E5" s="17">
        <f>D5*100/(D5+C5)</f>
        <v>0</v>
      </c>
      <c r="F5" s="15">
        <v>14</v>
      </c>
      <c r="G5" s="17">
        <f t="shared" si="0"/>
        <v>100</v>
      </c>
      <c r="H5" s="15">
        <v>0</v>
      </c>
      <c r="I5" s="17">
        <f t="shared" si="1"/>
        <v>0</v>
      </c>
      <c r="J5" s="15">
        <v>65</v>
      </c>
      <c r="K5" s="15">
        <v>40</v>
      </c>
      <c r="L5" s="15">
        <v>65</v>
      </c>
      <c r="M5" s="15">
        <v>170</v>
      </c>
      <c r="N5" s="15">
        <v>6</v>
      </c>
      <c r="O5" s="15">
        <v>6</v>
      </c>
      <c r="P5" s="17">
        <f>O5*100/N5</f>
        <v>100</v>
      </c>
    </row>
    <row r="6" spans="1:16" x14ac:dyDescent="0.25">
      <c r="A6" s="19" t="s">
        <v>23</v>
      </c>
      <c r="B6" s="14" t="s">
        <v>21</v>
      </c>
      <c r="C6" s="15">
        <v>8</v>
      </c>
      <c r="D6" s="15">
        <v>0</v>
      </c>
      <c r="E6" s="17">
        <f>D6*100/(D6+C6)</f>
        <v>0</v>
      </c>
      <c r="F6" s="15">
        <v>8</v>
      </c>
      <c r="G6" s="17">
        <f t="shared" si="0"/>
        <v>100</v>
      </c>
      <c r="H6" s="15">
        <v>0</v>
      </c>
      <c r="I6" s="17">
        <f t="shared" si="1"/>
        <v>0</v>
      </c>
      <c r="J6" s="15">
        <v>23</v>
      </c>
      <c r="K6" s="15">
        <v>9</v>
      </c>
      <c r="L6" s="15">
        <v>23</v>
      </c>
      <c r="M6" s="15">
        <v>36</v>
      </c>
      <c r="N6" s="15">
        <v>4</v>
      </c>
      <c r="O6" s="15">
        <v>4</v>
      </c>
      <c r="P6" s="17">
        <f>O6*100/N6</f>
        <v>100</v>
      </c>
    </row>
    <row r="7" spans="1:16" x14ac:dyDescent="0.25">
      <c r="A7" s="19" t="s">
        <v>24</v>
      </c>
      <c r="B7" s="14" t="s">
        <v>21</v>
      </c>
      <c r="C7" s="15">
        <v>2</v>
      </c>
      <c r="D7" s="15">
        <v>0</v>
      </c>
      <c r="E7" s="17">
        <f>D7*100/(D7+C7)</f>
        <v>0</v>
      </c>
      <c r="F7" s="15">
        <v>2</v>
      </c>
      <c r="G7" s="17">
        <f t="shared" si="0"/>
        <v>100</v>
      </c>
      <c r="H7" s="15">
        <v>2</v>
      </c>
      <c r="I7" s="17">
        <f t="shared" si="1"/>
        <v>100</v>
      </c>
      <c r="J7" s="15">
        <v>6</v>
      </c>
      <c r="K7" s="15">
        <v>1.5</v>
      </c>
      <c r="L7" s="15">
        <v>6</v>
      </c>
      <c r="M7" s="15">
        <v>7</v>
      </c>
      <c r="N7" s="15">
        <v>1</v>
      </c>
      <c r="O7" s="15">
        <v>1</v>
      </c>
      <c r="P7" s="17">
        <f>O7*100/N7</f>
        <v>100</v>
      </c>
    </row>
    <row r="8" spans="1:16" x14ac:dyDescent="0.25">
      <c r="A8" s="19" t="s">
        <v>25</v>
      </c>
      <c r="B8" s="14" t="s">
        <v>21</v>
      </c>
      <c r="C8" s="15">
        <v>6</v>
      </c>
      <c r="D8" s="15">
        <v>0</v>
      </c>
      <c r="E8" s="17">
        <f t="shared" ref="E8:E63" si="3">D8*100/(D8+C8)</f>
        <v>0</v>
      </c>
      <c r="F8" s="15">
        <v>6</v>
      </c>
      <c r="G8" s="17">
        <f t="shared" si="0"/>
        <v>100</v>
      </c>
      <c r="H8" s="15">
        <v>0</v>
      </c>
      <c r="I8" s="17">
        <f t="shared" si="1"/>
        <v>0</v>
      </c>
      <c r="J8" s="15">
        <v>9</v>
      </c>
      <c r="K8" s="15">
        <v>2.5</v>
      </c>
      <c r="L8" s="15">
        <v>9</v>
      </c>
      <c r="M8" s="15">
        <v>9</v>
      </c>
      <c r="N8" s="15">
        <v>1</v>
      </c>
      <c r="O8" s="15">
        <v>1</v>
      </c>
      <c r="P8" s="17">
        <f t="shared" ref="P8" si="4">O8*100/N8</f>
        <v>100</v>
      </c>
    </row>
    <row r="9" spans="1:16" x14ac:dyDescent="0.25">
      <c r="A9" s="20" t="s">
        <v>26</v>
      </c>
      <c r="B9" s="20" t="s">
        <v>27</v>
      </c>
      <c r="C9" s="21">
        <v>4</v>
      </c>
      <c r="D9" s="21">
        <v>0</v>
      </c>
      <c r="E9" s="22">
        <f t="shared" si="3"/>
        <v>0</v>
      </c>
      <c r="F9" s="21">
        <v>4</v>
      </c>
      <c r="G9" s="22">
        <f t="shared" si="0"/>
        <v>100</v>
      </c>
      <c r="H9" s="21">
        <v>0</v>
      </c>
      <c r="I9" s="22">
        <f t="shared" si="1"/>
        <v>0</v>
      </c>
      <c r="J9" s="21">
        <v>8</v>
      </c>
      <c r="K9" s="21">
        <v>4.5</v>
      </c>
      <c r="L9" s="21">
        <v>8</v>
      </c>
      <c r="M9" s="21">
        <v>36</v>
      </c>
      <c r="N9" s="21">
        <v>9</v>
      </c>
      <c r="O9" s="21">
        <v>9</v>
      </c>
      <c r="P9" s="22">
        <f t="shared" si="2"/>
        <v>100</v>
      </c>
    </row>
    <row r="10" spans="1:16" x14ac:dyDescent="0.25">
      <c r="A10" s="20" t="s">
        <v>28</v>
      </c>
      <c r="B10" s="20" t="s">
        <v>27</v>
      </c>
      <c r="C10" s="21">
        <v>10</v>
      </c>
      <c r="D10" s="21">
        <v>0</v>
      </c>
      <c r="E10" s="22">
        <f t="shared" si="3"/>
        <v>0</v>
      </c>
      <c r="F10" s="21">
        <v>10</v>
      </c>
      <c r="G10" s="22">
        <f t="shared" si="0"/>
        <v>100</v>
      </c>
      <c r="H10" s="21">
        <v>1</v>
      </c>
      <c r="I10" s="22">
        <f t="shared" si="1"/>
        <v>10</v>
      </c>
      <c r="J10" s="21">
        <v>20</v>
      </c>
      <c r="K10" s="21">
        <v>4.5</v>
      </c>
      <c r="L10" s="21">
        <v>20</v>
      </c>
      <c r="M10" s="21">
        <v>36</v>
      </c>
      <c r="N10" s="21">
        <v>6</v>
      </c>
      <c r="O10" s="21">
        <v>6</v>
      </c>
      <c r="P10" s="22">
        <f t="shared" si="2"/>
        <v>100</v>
      </c>
    </row>
    <row r="11" spans="1:16" x14ac:dyDescent="0.25">
      <c r="A11" s="20" t="s">
        <v>29</v>
      </c>
      <c r="B11" s="20" t="s">
        <v>27</v>
      </c>
      <c r="C11" s="21">
        <v>3</v>
      </c>
      <c r="D11" s="21">
        <v>0</v>
      </c>
      <c r="E11" s="22">
        <f t="shared" si="3"/>
        <v>0</v>
      </c>
      <c r="F11" s="21">
        <v>3</v>
      </c>
      <c r="G11" s="22">
        <f t="shared" si="0"/>
        <v>100</v>
      </c>
      <c r="H11" s="21">
        <v>0</v>
      </c>
      <c r="I11" s="22">
        <f t="shared" si="1"/>
        <v>0</v>
      </c>
      <c r="J11" s="21">
        <v>21</v>
      </c>
      <c r="K11" s="21">
        <v>4.5</v>
      </c>
      <c r="L11" s="21">
        <v>21</v>
      </c>
      <c r="M11" s="21">
        <v>48</v>
      </c>
      <c r="N11" s="21">
        <v>2</v>
      </c>
      <c r="O11" s="21">
        <v>2</v>
      </c>
      <c r="P11" s="22">
        <f t="shared" si="2"/>
        <v>100</v>
      </c>
    </row>
    <row r="12" spans="1:16" x14ac:dyDescent="0.25">
      <c r="A12" s="20" t="s">
        <v>30</v>
      </c>
      <c r="B12" s="20" t="s">
        <v>27</v>
      </c>
      <c r="C12" s="21">
        <v>13</v>
      </c>
      <c r="D12" s="21">
        <v>0</v>
      </c>
      <c r="E12" s="22">
        <f t="shared" si="3"/>
        <v>0</v>
      </c>
      <c r="F12" s="21">
        <v>13</v>
      </c>
      <c r="G12" s="22">
        <f>F12*100/C12</f>
        <v>100</v>
      </c>
      <c r="H12" s="21">
        <v>1</v>
      </c>
      <c r="I12" s="22">
        <f t="shared" si="1"/>
        <v>7.6923076923076925</v>
      </c>
      <c r="J12" s="21">
        <v>20</v>
      </c>
      <c r="K12" s="21">
        <v>4.5</v>
      </c>
      <c r="L12" s="21">
        <v>19</v>
      </c>
      <c r="M12" s="21">
        <v>48</v>
      </c>
      <c r="N12" s="21">
        <v>11</v>
      </c>
      <c r="O12" s="21">
        <v>11</v>
      </c>
      <c r="P12" s="22">
        <f t="shared" si="2"/>
        <v>100</v>
      </c>
    </row>
    <row r="13" spans="1:16" x14ac:dyDescent="0.25">
      <c r="A13" s="20" t="s">
        <v>31</v>
      </c>
      <c r="B13" s="20" t="s">
        <v>27</v>
      </c>
      <c r="C13" s="21">
        <v>0</v>
      </c>
      <c r="D13" s="21">
        <v>0</v>
      </c>
      <c r="E13" s="22"/>
      <c r="F13" s="21">
        <v>0</v>
      </c>
      <c r="G13" s="22"/>
      <c r="H13" s="21">
        <v>0</v>
      </c>
      <c r="I13" s="22"/>
      <c r="J13" s="21">
        <v>12</v>
      </c>
      <c r="K13" s="21">
        <v>4.5</v>
      </c>
      <c r="L13" s="21">
        <v>12</v>
      </c>
      <c r="M13" s="21">
        <v>24</v>
      </c>
      <c r="N13" s="21">
        <v>1</v>
      </c>
      <c r="O13" s="21">
        <v>1</v>
      </c>
      <c r="P13" s="22">
        <f t="shared" si="2"/>
        <v>100</v>
      </c>
    </row>
    <row r="14" spans="1:16" x14ac:dyDescent="0.25">
      <c r="A14" s="20" t="s">
        <v>32</v>
      </c>
      <c r="B14" s="20" t="s">
        <v>27</v>
      </c>
      <c r="C14" s="21">
        <v>15</v>
      </c>
      <c r="D14" s="21">
        <v>0</v>
      </c>
      <c r="E14" s="22">
        <f t="shared" si="3"/>
        <v>0</v>
      </c>
      <c r="F14" s="21">
        <v>15</v>
      </c>
      <c r="G14" s="22">
        <f t="shared" si="0"/>
        <v>100</v>
      </c>
      <c r="H14" s="21">
        <v>4</v>
      </c>
      <c r="I14" s="22">
        <f t="shared" si="1"/>
        <v>26.666666666666668</v>
      </c>
      <c r="J14" s="21">
        <v>50</v>
      </c>
      <c r="K14" s="21">
        <v>11</v>
      </c>
      <c r="L14" s="21">
        <v>47</v>
      </c>
      <c r="M14" s="21">
        <v>36</v>
      </c>
      <c r="N14" s="21">
        <v>7</v>
      </c>
      <c r="O14" s="21">
        <v>6</v>
      </c>
      <c r="P14" s="22">
        <f t="shared" si="2"/>
        <v>85.714285714285708</v>
      </c>
    </row>
    <row r="15" spans="1:16" x14ac:dyDescent="0.25">
      <c r="A15" s="20" t="s">
        <v>33</v>
      </c>
      <c r="B15" s="20" t="s">
        <v>27</v>
      </c>
      <c r="C15" s="21">
        <v>34</v>
      </c>
      <c r="D15" s="21">
        <v>0</v>
      </c>
      <c r="E15" s="22">
        <f t="shared" si="3"/>
        <v>0</v>
      </c>
      <c r="F15" s="21">
        <v>34</v>
      </c>
      <c r="G15" s="22">
        <f t="shared" si="0"/>
        <v>100</v>
      </c>
      <c r="H15" s="21">
        <v>1</v>
      </c>
      <c r="I15" s="22">
        <f t="shared" si="1"/>
        <v>2.9411764705882355</v>
      </c>
      <c r="J15" s="21">
        <v>277</v>
      </c>
      <c r="K15" s="21">
        <v>27</v>
      </c>
      <c r="L15" s="21">
        <v>204</v>
      </c>
      <c r="M15" s="21">
        <v>108</v>
      </c>
      <c r="N15" s="21">
        <v>24</v>
      </c>
      <c r="O15" s="21">
        <v>20</v>
      </c>
      <c r="P15" s="22">
        <f t="shared" si="2"/>
        <v>83.333333333333329</v>
      </c>
    </row>
    <row r="16" spans="1:16" x14ac:dyDescent="0.25">
      <c r="A16" s="20" t="s">
        <v>34</v>
      </c>
      <c r="B16" s="20" t="s">
        <v>27</v>
      </c>
      <c r="C16" s="21">
        <v>23</v>
      </c>
      <c r="D16" s="21">
        <v>0</v>
      </c>
      <c r="E16" s="22">
        <f t="shared" si="3"/>
        <v>0</v>
      </c>
      <c r="F16" s="21">
        <v>23</v>
      </c>
      <c r="G16" s="22">
        <f t="shared" si="0"/>
        <v>100</v>
      </c>
      <c r="H16" s="21">
        <v>1</v>
      </c>
      <c r="I16" s="22">
        <f t="shared" si="1"/>
        <v>4.3478260869565215</v>
      </c>
      <c r="J16" s="21">
        <v>58</v>
      </c>
      <c r="K16" s="21">
        <v>10</v>
      </c>
      <c r="L16" s="21">
        <v>58</v>
      </c>
      <c r="M16" s="21">
        <v>54</v>
      </c>
      <c r="N16" s="21">
        <v>11</v>
      </c>
      <c r="O16" s="21">
        <v>6</v>
      </c>
      <c r="P16" s="22">
        <f t="shared" si="2"/>
        <v>54.545454545454547</v>
      </c>
    </row>
    <row r="17" spans="1:16" x14ac:dyDescent="0.25">
      <c r="A17" s="20" t="s">
        <v>35</v>
      </c>
      <c r="B17" s="20" t="s">
        <v>27</v>
      </c>
      <c r="C17" s="21">
        <v>0</v>
      </c>
      <c r="D17" s="21">
        <v>0</v>
      </c>
      <c r="E17" s="22"/>
      <c r="F17" s="21">
        <v>0</v>
      </c>
      <c r="G17" s="22"/>
      <c r="H17" s="21">
        <v>0</v>
      </c>
      <c r="I17" s="22"/>
      <c r="J17" s="21">
        <v>3</v>
      </c>
      <c r="K17" s="21">
        <v>1</v>
      </c>
      <c r="L17" s="21">
        <v>3</v>
      </c>
      <c r="M17" s="21">
        <v>4.5</v>
      </c>
      <c r="N17" s="21">
        <v>1</v>
      </c>
      <c r="O17" s="21">
        <v>1</v>
      </c>
      <c r="P17" s="22">
        <f t="shared" si="2"/>
        <v>100</v>
      </c>
    </row>
    <row r="18" spans="1:16" x14ac:dyDescent="0.25">
      <c r="A18" s="20" t="s">
        <v>36</v>
      </c>
      <c r="B18" s="20" t="s">
        <v>27</v>
      </c>
      <c r="C18" s="21">
        <v>4</v>
      </c>
      <c r="D18" s="21">
        <v>0</v>
      </c>
      <c r="E18" s="22">
        <f t="shared" si="3"/>
        <v>0</v>
      </c>
      <c r="F18" s="21">
        <v>4</v>
      </c>
      <c r="G18" s="22">
        <f t="shared" si="0"/>
        <v>100</v>
      </c>
      <c r="H18" s="21">
        <v>1</v>
      </c>
      <c r="I18" s="22">
        <f t="shared" si="1"/>
        <v>25</v>
      </c>
      <c r="J18" s="21">
        <v>30</v>
      </c>
      <c r="K18" s="21">
        <v>9</v>
      </c>
      <c r="L18" s="21">
        <v>30</v>
      </c>
      <c r="M18" s="21">
        <v>18</v>
      </c>
      <c r="N18" s="21">
        <v>2</v>
      </c>
      <c r="O18" s="21">
        <v>2</v>
      </c>
      <c r="P18" s="22">
        <f t="shared" si="2"/>
        <v>100</v>
      </c>
    </row>
    <row r="19" spans="1:16" x14ac:dyDescent="0.25">
      <c r="A19" s="20" t="s">
        <v>37</v>
      </c>
      <c r="B19" s="20" t="s">
        <v>27</v>
      </c>
      <c r="C19" s="21">
        <v>1</v>
      </c>
      <c r="D19" s="21">
        <v>0</v>
      </c>
      <c r="E19" s="22">
        <f t="shared" si="3"/>
        <v>0</v>
      </c>
      <c r="F19" s="21">
        <v>1</v>
      </c>
      <c r="G19" s="22">
        <f t="shared" si="0"/>
        <v>100</v>
      </c>
      <c r="H19" s="21">
        <v>0</v>
      </c>
      <c r="I19" s="22">
        <f t="shared" si="1"/>
        <v>0</v>
      </c>
      <c r="J19" s="21">
        <v>10</v>
      </c>
      <c r="K19" s="21">
        <v>4.5</v>
      </c>
      <c r="L19" s="21">
        <v>9</v>
      </c>
      <c r="M19" s="21">
        <v>27</v>
      </c>
      <c r="N19" s="21">
        <v>9</v>
      </c>
      <c r="O19" s="21">
        <v>8</v>
      </c>
      <c r="P19" s="22">
        <f t="shared" si="2"/>
        <v>88.888888888888886</v>
      </c>
    </row>
    <row r="20" spans="1:16" x14ac:dyDescent="0.25">
      <c r="A20" s="20" t="s">
        <v>38</v>
      </c>
      <c r="B20" s="20" t="s">
        <v>27</v>
      </c>
      <c r="C20" s="21">
        <v>3</v>
      </c>
      <c r="D20" s="21">
        <v>0</v>
      </c>
      <c r="E20" s="22">
        <f t="shared" si="3"/>
        <v>0</v>
      </c>
      <c r="F20" s="21">
        <v>3</v>
      </c>
      <c r="G20" s="22">
        <f t="shared" si="0"/>
        <v>100</v>
      </c>
      <c r="H20" s="21">
        <v>0</v>
      </c>
      <c r="I20" s="22">
        <f t="shared" si="1"/>
        <v>0</v>
      </c>
      <c r="J20" s="21">
        <v>16</v>
      </c>
      <c r="K20" s="21">
        <v>4.5</v>
      </c>
      <c r="L20" s="21">
        <v>16</v>
      </c>
      <c r="M20" s="21">
        <v>27</v>
      </c>
      <c r="N20" s="21">
        <v>4</v>
      </c>
      <c r="O20" s="21">
        <v>4</v>
      </c>
      <c r="P20" s="22">
        <f t="shared" si="2"/>
        <v>100</v>
      </c>
    </row>
    <row r="21" spans="1:16" x14ac:dyDescent="0.25">
      <c r="A21" s="20" t="s">
        <v>39</v>
      </c>
      <c r="B21" s="20" t="s">
        <v>27</v>
      </c>
      <c r="C21" s="21">
        <v>0</v>
      </c>
      <c r="D21" s="21">
        <v>0</v>
      </c>
      <c r="E21" s="22"/>
      <c r="F21" s="21">
        <v>0</v>
      </c>
      <c r="G21" s="22"/>
      <c r="H21" s="21">
        <v>0</v>
      </c>
      <c r="I21" s="22"/>
      <c r="J21" s="21">
        <v>2</v>
      </c>
      <c r="K21" s="21">
        <v>2</v>
      </c>
      <c r="L21" s="21">
        <v>2</v>
      </c>
      <c r="M21" s="21">
        <v>9</v>
      </c>
      <c r="N21" s="21">
        <v>2</v>
      </c>
      <c r="O21" s="21">
        <v>2</v>
      </c>
      <c r="P21" s="22">
        <f t="shared" si="2"/>
        <v>100</v>
      </c>
    </row>
    <row r="22" spans="1:16" x14ac:dyDescent="0.25">
      <c r="A22" s="20" t="s">
        <v>40</v>
      </c>
      <c r="B22" s="20" t="s">
        <v>27</v>
      </c>
      <c r="C22" s="21">
        <v>3</v>
      </c>
      <c r="D22" s="21">
        <v>0</v>
      </c>
      <c r="E22" s="22">
        <f t="shared" si="3"/>
        <v>0</v>
      </c>
      <c r="F22" s="21">
        <v>3</v>
      </c>
      <c r="G22" s="22">
        <f t="shared" si="0"/>
        <v>100</v>
      </c>
      <c r="H22" s="21">
        <v>3</v>
      </c>
      <c r="I22" s="22">
        <f t="shared" si="1"/>
        <v>100</v>
      </c>
      <c r="J22" s="21">
        <v>35</v>
      </c>
      <c r="K22" s="21">
        <v>9</v>
      </c>
      <c r="L22" s="21">
        <v>35</v>
      </c>
      <c r="M22" s="21">
        <v>36</v>
      </c>
      <c r="N22" s="21">
        <v>5</v>
      </c>
      <c r="O22" s="21">
        <v>5</v>
      </c>
      <c r="P22" s="22">
        <f t="shared" si="2"/>
        <v>100</v>
      </c>
    </row>
    <row r="23" spans="1:16" x14ac:dyDescent="0.25">
      <c r="A23" s="20" t="s">
        <v>41</v>
      </c>
      <c r="B23" s="20" t="s">
        <v>27</v>
      </c>
      <c r="C23" s="21">
        <v>1</v>
      </c>
      <c r="D23" s="21">
        <v>0</v>
      </c>
      <c r="E23" s="22">
        <f t="shared" si="3"/>
        <v>0</v>
      </c>
      <c r="F23" s="21">
        <v>1</v>
      </c>
      <c r="G23" s="22">
        <f t="shared" si="0"/>
        <v>100</v>
      </c>
      <c r="H23" s="21">
        <v>1</v>
      </c>
      <c r="I23" s="22">
        <f t="shared" si="1"/>
        <v>100</v>
      </c>
      <c r="J23" s="21">
        <v>7</v>
      </c>
      <c r="K23" s="21">
        <v>3</v>
      </c>
      <c r="L23" s="21">
        <v>7</v>
      </c>
      <c r="M23" s="21">
        <v>18</v>
      </c>
      <c r="N23" s="21">
        <v>5</v>
      </c>
      <c r="O23" s="21">
        <v>5</v>
      </c>
      <c r="P23" s="22">
        <f t="shared" si="2"/>
        <v>100</v>
      </c>
    </row>
    <row r="24" spans="1:16" x14ac:dyDescent="0.25">
      <c r="A24" s="20" t="s">
        <v>42</v>
      </c>
      <c r="B24" s="20" t="s">
        <v>27</v>
      </c>
      <c r="C24" s="21">
        <v>1</v>
      </c>
      <c r="D24" s="21">
        <v>0</v>
      </c>
      <c r="E24" s="22">
        <f t="shared" si="3"/>
        <v>0</v>
      </c>
      <c r="F24" s="21">
        <v>1</v>
      </c>
      <c r="G24" s="22">
        <f t="shared" si="0"/>
        <v>100</v>
      </c>
      <c r="H24" s="21">
        <v>0</v>
      </c>
      <c r="I24" s="22">
        <f t="shared" si="1"/>
        <v>0</v>
      </c>
      <c r="J24" s="21">
        <v>7</v>
      </c>
      <c r="K24" s="21">
        <v>3</v>
      </c>
      <c r="L24" s="21">
        <v>7</v>
      </c>
      <c r="M24" s="21">
        <v>9</v>
      </c>
      <c r="N24" s="21">
        <v>3</v>
      </c>
      <c r="O24" s="21">
        <v>3</v>
      </c>
      <c r="P24" s="22">
        <f t="shared" si="2"/>
        <v>100</v>
      </c>
    </row>
    <row r="25" spans="1:16" x14ac:dyDescent="0.25">
      <c r="A25" s="20" t="s">
        <v>43</v>
      </c>
      <c r="B25" s="20" t="s">
        <v>27</v>
      </c>
      <c r="C25" s="21">
        <v>3</v>
      </c>
      <c r="D25" s="21">
        <v>0</v>
      </c>
      <c r="E25" s="22">
        <f t="shared" si="3"/>
        <v>0</v>
      </c>
      <c r="F25" s="21">
        <v>3</v>
      </c>
      <c r="G25" s="22">
        <f t="shared" si="0"/>
        <v>100</v>
      </c>
      <c r="H25" s="21">
        <v>1</v>
      </c>
      <c r="I25" s="22">
        <f t="shared" si="1"/>
        <v>33.333333333333336</v>
      </c>
      <c r="J25" s="21">
        <v>5</v>
      </c>
      <c r="K25" s="21">
        <v>3</v>
      </c>
      <c r="L25" s="21">
        <v>5</v>
      </c>
      <c r="M25" s="21">
        <v>9</v>
      </c>
      <c r="N25" s="21">
        <v>5</v>
      </c>
      <c r="O25" s="21">
        <v>4</v>
      </c>
      <c r="P25" s="22">
        <f t="shared" si="2"/>
        <v>80</v>
      </c>
    </row>
    <row r="26" spans="1:16" x14ac:dyDescent="0.25">
      <c r="A26" s="20" t="s">
        <v>44</v>
      </c>
      <c r="B26" s="20" t="s">
        <v>27</v>
      </c>
      <c r="C26" s="21">
        <v>3</v>
      </c>
      <c r="D26" s="21">
        <v>0</v>
      </c>
      <c r="E26" s="22">
        <f t="shared" si="3"/>
        <v>0</v>
      </c>
      <c r="F26" s="21">
        <v>3</v>
      </c>
      <c r="G26" s="22">
        <f>F26*100/C26</f>
        <v>100</v>
      </c>
      <c r="H26" s="21">
        <v>0</v>
      </c>
      <c r="I26" s="22">
        <f t="shared" si="1"/>
        <v>0</v>
      </c>
      <c r="J26" s="21">
        <v>30</v>
      </c>
      <c r="K26" s="21">
        <v>4.5</v>
      </c>
      <c r="L26" s="21">
        <v>30</v>
      </c>
      <c r="M26" s="23">
        <v>54</v>
      </c>
      <c r="N26" s="21">
        <v>11</v>
      </c>
      <c r="O26" s="21">
        <v>11</v>
      </c>
      <c r="P26" s="22">
        <f t="shared" si="2"/>
        <v>100</v>
      </c>
    </row>
    <row r="27" spans="1:16" x14ac:dyDescent="0.25">
      <c r="A27" s="20" t="s">
        <v>45</v>
      </c>
      <c r="B27" s="20" t="s">
        <v>27</v>
      </c>
      <c r="C27" s="21">
        <v>1</v>
      </c>
      <c r="D27" s="21">
        <v>0</v>
      </c>
      <c r="E27" s="22">
        <f t="shared" si="3"/>
        <v>0</v>
      </c>
      <c r="F27" s="21">
        <v>1</v>
      </c>
      <c r="G27" s="22">
        <f t="shared" si="0"/>
        <v>100</v>
      </c>
      <c r="H27" s="21">
        <v>0</v>
      </c>
      <c r="I27" s="22">
        <f t="shared" si="1"/>
        <v>0</v>
      </c>
      <c r="J27" s="21">
        <v>9</v>
      </c>
      <c r="K27" s="21">
        <v>1</v>
      </c>
      <c r="L27" s="21">
        <v>9</v>
      </c>
      <c r="M27" s="24"/>
      <c r="N27" s="21">
        <v>1</v>
      </c>
      <c r="O27" s="21">
        <v>1</v>
      </c>
      <c r="P27" s="22">
        <f t="shared" si="2"/>
        <v>100</v>
      </c>
    </row>
    <row r="28" spans="1:16" x14ac:dyDescent="0.25">
      <c r="A28" s="20" t="s">
        <v>46</v>
      </c>
      <c r="B28" s="20" t="s">
        <v>27</v>
      </c>
      <c r="C28" s="21">
        <v>0</v>
      </c>
      <c r="D28" s="21">
        <v>0</v>
      </c>
      <c r="E28" s="22"/>
      <c r="F28" s="21">
        <v>0</v>
      </c>
      <c r="G28" s="22"/>
      <c r="H28" s="21">
        <v>0</v>
      </c>
      <c r="I28" s="22"/>
      <c r="J28" s="21">
        <v>6</v>
      </c>
      <c r="K28" s="21">
        <v>1</v>
      </c>
      <c r="L28" s="21">
        <v>6</v>
      </c>
      <c r="M28" s="24"/>
      <c r="N28" s="21">
        <v>3</v>
      </c>
      <c r="O28" s="21">
        <v>3</v>
      </c>
      <c r="P28" s="22">
        <f t="shared" si="2"/>
        <v>100</v>
      </c>
    </row>
    <row r="29" spans="1:16" x14ac:dyDescent="0.25">
      <c r="A29" s="20" t="s">
        <v>47</v>
      </c>
      <c r="B29" s="20" t="s">
        <v>27</v>
      </c>
      <c r="C29" s="21">
        <v>1</v>
      </c>
      <c r="D29" s="21">
        <v>0</v>
      </c>
      <c r="E29" s="22">
        <f t="shared" si="3"/>
        <v>0</v>
      </c>
      <c r="F29" s="21">
        <v>1</v>
      </c>
      <c r="G29" s="22">
        <f t="shared" si="0"/>
        <v>100</v>
      </c>
      <c r="H29" s="21">
        <v>0</v>
      </c>
      <c r="I29" s="22">
        <f t="shared" si="1"/>
        <v>0</v>
      </c>
      <c r="J29" s="21">
        <v>4</v>
      </c>
      <c r="K29" s="21">
        <v>1</v>
      </c>
      <c r="L29" s="21">
        <v>4</v>
      </c>
      <c r="M29" s="24"/>
      <c r="N29" s="21">
        <v>1</v>
      </c>
      <c r="O29" s="21">
        <v>1</v>
      </c>
      <c r="P29" s="22">
        <f t="shared" si="2"/>
        <v>100</v>
      </c>
    </row>
    <row r="30" spans="1:16" x14ac:dyDescent="0.25">
      <c r="A30" s="20" t="s">
        <v>48</v>
      </c>
      <c r="B30" s="20" t="s">
        <v>27</v>
      </c>
      <c r="C30" s="21">
        <v>0</v>
      </c>
      <c r="D30" s="21">
        <v>0</v>
      </c>
      <c r="E30" s="22"/>
      <c r="F30" s="21">
        <v>0</v>
      </c>
      <c r="G30" s="22"/>
      <c r="H30" s="21">
        <v>0</v>
      </c>
      <c r="I30" s="22"/>
      <c r="J30" s="21">
        <v>3</v>
      </c>
      <c r="K30" s="21">
        <v>1</v>
      </c>
      <c r="L30" s="21">
        <v>3</v>
      </c>
      <c r="M30" s="24"/>
      <c r="N30" s="21">
        <v>2</v>
      </c>
      <c r="O30" s="21">
        <v>2</v>
      </c>
      <c r="P30" s="22">
        <f t="shared" si="2"/>
        <v>100</v>
      </c>
    </row>
    <row r="31" spans="1:16" x14ac:dyDescent="0.25">
      <c r="A31" s="20" t="s">
        <v>49</v>
      </c>
      <c r="B31" s="20" t="s">
        <v>27</v>
      </c>
      <c r="C31" s="21">
        <v>1</v>
      </c>
      <c r="D31" s="21">
        <v>0</v>
      </c>
      <c r="E31" s="22">
        <f t="shared" si="3"/>
        <v>0</v>
      </c>
      <c r="F31" s="21">
        <v>1</v>
      </c>
      <c r="G31" s="22">
        <f t="shared" si="0"/>
        <v>100</v>
      </c>
      <c r="H31" s="21">
        <v>0</v>
      </c>
      <c r="I31" s="22">
        <f t="shared" si="1"/>
        <v>0</v>
      </c>
      <c r="J31" s="21">
        <v>7</v>
      </c>
      <c r="K31" s="21">
        <v>1</v>
      </c>
      <c r="L31" s="21">
        <v>7</v>
      </c>
      <c r="M31" s="24"/>
      <c r="N31" s="21">
        <v>7</v>
      </c>
      <c r="O31" s="21">
        <v>7</v>
      </c>
      <c r="P31" s="22">
        <f t="shared" si="2"/>
        <v>100</v>
      </c>
    </row>
    <row r="32" spans="1:16" x14ac:dyDescent="0.25">
      <c r="A32" s="20" t="s">
        <v>50</v>
      </c>
      <c r="B32" s="20" t="s">
        <v>27</v>
      </c>
      <c r="C32" s="21">
        <v>0</v>
      </c>
      <c r="D32" s="21">
        <v>0</v>
      </c>
      <c r="E32" s="22"/>
      <c r="F32" s="21">
        <v>0</v>
      </c>
      <c r="G32" s="22"/>
      <c r="H32" s="21">
        <v>0</v>
      </c>
      <c r="I32" s="22"/>
      <c r="J32" s="21">
        <v>7</v>
      </c>
      <c r="K32" s="21">
        <v>1</v>
      </c>
      <c r="L32" s="21">
        <v>6</v>
      </c>
      <c r="M32" s="24"/>
      <c r="N32" s="21">
        <v>7</v>
      </c>
      <c r="O32" s="21">
        <v>6</v>
      </c>
      <c r="P32" s="22">
        <f>O32*100/N32</f>
        <v>85.714285714285708</v>
      </c>
    </row>
    <row r="33" spans="1:16" x14ac:dyDescent="0.25">
      <c r="A33" s="20" t="s">
        <v>51</v>
      </c>
      <c r="B33" s="20" t="s">
        <v>27</v>
      </c>
      <c r="C33" s="21">
        <v>7</v>
      </c>
      <c r="D33" s="21">
        <v>0</v>
      </c>
      <c r="E33" s="22">
        <f t="shared" si="3"/>
        <v>0</v>
      </c>
      <c r="F33" s="21">
        <v>7</v>
      </c>
      <c r="G33" s="22">
        <f t="shared" si="0"/>
        <v>100</v>
      </c>
      <c r="H33" s="21">
        <v>0</v>
      </c>
      <c r="I33" s="22">
        <f t="shared" si="1"/>
        <v>0</v>
      </c>
      <c r="J33" s="21">
        <v>47</v>
      </c>
      <c r="K33" s="21">
        <v>4.5</v>
      </c>
      <c r="L33" s="21">
        <v>47</v>
      </c>
      <c r="M33" s="24"/>
      <c r="N33" s="21">
        <v>1</v>
      </c>
      <c r="O33" s="21">
        <v>1</v>
      </c>
      <c r="P33" s="22">
        <f t="shared" si="2"/>
        <v>100</v>
      </c>
    </row>
    <row r="34" spans="1:16" x14ac:dyDescent="0.25">
      <c r="A34" s="20" t="s">
        <v>52</v>
      </c>
      <c r="B34" s="20" t="s">
        <v>27</v>
      </c>
      <c r="C34" s="21">
        <v>0</v>
      </c>
      <c r="D34" s="21">
        <v>0</v>
      </c>
      <c r="E34" s="22"/>
      <c r="F34" s="21">
        <v>0</v>
      </c>
      <c r="G34" s="22"/>
      <c r="H34" s="21">
        <v>0</v>
      </c>
      <c r="I34" s="22"/>
      <c r="J34" s="21">
        <v>14</v>
      </c>
      <c r="K34" s="21">
        <v>1</v>
      </c>
      <c r="L34" s="21">
        <v>14</v>
      </c>
      <c r="M34" s="24"/>
      <c r="N34" s="21">
        <v>7</v>
      </c>
      <c r="O34" s="21">
        <v>7</v>
      </c>
      <c r="P34" s="22">
        <f t="shared" si="2"/>
        <v>100</v>
      </c>
    </row>
    <row r="35" spans="1:16" x14ac:dyDescent="0.25">
      <c r="A35" s="20" t="s">
        <v>53</v>
      </c>
      <c r="B35" s="20" t="s">
        <v>27</v>
      </c>
      <c r="C35" s="21">
        <v>0</v>
      </c>
      <c r="D35" s="21">
        <v>0</v>
      </c>
      <c r="E35" s="22"/>
      <c r="F35" s="21">
        <v>0</v>
      </c>
      <c r="G35" s="22"/>
      <c r="H35" s="21">
        <v>0</v>
      </c>
      <c r="I35" s="22"/>
      <c r="J35" s="21">
        <v>16</v>
      </c>
      <c r="K35" s="21">
        <v>1</v>
      </c>
      <c r="L35" s="21">
        <v>16</v>
      </c>
      <c r="M35" s="24"/>
      <c r="N35" s="21">
        <v>16</v>
      </c>
      <c r="O35" s="21">
        <v>16</v>
      </c>
      <c r="P35" s="22">
        <f t="shared" si="2"/>
        <v>100</v>
      </c>
    </row>
    <row r="36" spans="1:16" x14ac:dyDescent="0.25">
      <c r="A36" s="20" t="s">
        <v>54</v>
      </c>
      <c r="B36" s="20" t="s">
        <v>27</v>
      </c>
      <c r="C36" s="21">
        <v>0</v>
      </c>
      <c r="D36" s="21">
        <v>0</v>
      </c>
      <c r="E36" s="22"/>
      <c r="F36" s="21">
        <v>0</v>
      </c>
      <c r="G36" s="22"/>
      <c r="H36" s="21">
        <v>0</v>
      </c>
      <c r="I36" s="22"/>
      <c r="J36" s="21">
        <v>2</v>
      </c>
      <c r="K36" s="21">
        <v>1</v>
      </c>
      <c r="L36" s="21">
        <v>2</v>
      </c>
      <c r="M36" s="24"/>
      <c r="N36" s="21">
        <v>2</v>
      </c>
      <c r="O36" s="21">
        <v>2</v>
      </c>
      <c r="P36" s="22">
        <f t="shared" si="2"/>
        <v>100</v>
      </c>
    </row>
    <row r="37" spans="1:16" x14ac:dyDescent="0.25">
      <c r="A37" s="20" t="s">
        <v>55</v>
      </c>
      <c r="B37" s="20" t="s">
        <v>27</v>
      </c>
      <c r="C37" s="21">
        <v>33</v>
      </c>
      <c r="D37" s="21">
        <v>0</v>
      </c>
      <c r="E37" s="22">
        <f t="shared" si="3"/>
        <v>0</v>
      </c>
      <c r="F37" s="21">
        <v>33</v>
      </c>
      <c r="G37" s="22">
        <f t="shared" si="0"/>
        <v>100</v>
      </c>
      <c r="H37" s="21">
        <v>2</v>
      </c>
      <c r="I37" s="22">
        <f t="shared" si="1"/>
        <v>6.0606060606060606</v>
      </c>
      <c r="J37" s="21">
        <v>58</v>
      </c>
      <c r="K37" s="21">
        <v>13.5</v>
      </c>
      <c r="L37" s="21">
        <v>51</v>
      </c>
      <c r="M37" s="21">
        <v>117</v>
      </c>
      <c r="N37" s="21">
        <v>5</v>
      </c>
      <c r="O37" s="21">
        <v>3</v>
      </c>
      <c r="P37" s="22">
        <f t="shared" si="2"/>
        <v>60</v>
      </c>
    </row>
    <row r="38" spans="1:16" x14ac:dyDescent="0.25">
      <c r="A38" s="25" t="s">
        <v>56</v>
      </c>
      <c r="B38" s="20" t="s">
        <v>27</v>
      </c>
      <c r="C38" s="21">
        <v>16</v>
      </c>
      <c r="D38" s="21">
        <v>0</v>
      </c>
      <c r="E38" s="22">
        <f t="shared" si="3"/>
        <v>0</v>
      </c>
      <c r="F38" s="21">
        <v>16</v>
      </c>
      <c r="G38" s="22">
        <f t="shared" si="0"/>
        <v>100</v>
      </c>
      <c r="H38" s="21">
        <v>0</v>
      </c>
      <c r="I38" s="22">
        <f t="shared" si="1"/>
        <v>0</v>
      </c>
      <c r="J38" s="21">
        <v>24</v>
      </c>
      <c r="K38" s="21">
        <v>6</v>
      </c>
      <c r="L38" s="21">
        <v>24</v>
      </c>
      <c r="M38" s="21">
        <v>9</v>
      </c>
      <c r="N38" s="21">
        <v>2</v>
      </c>
      <c r="O38" s="21">
        <v>2</v>
      </c>
      <c r="P38" s="22">
        <f t="shared" si="2"/>
        <v>100</v>
      </c>
    </row>
    <row r="39" spans="1:16" ht="90" x14ac:dyDescent="0.25">
      <c r="A39" s="26" t="s">
        <v>57</v>
      </c>
      <c r="B39" s="20" t="s">
        <v>27</v>
      </c>
      <c r="C39" s="21">
        <v>30</v>
      </c>
      <c r="D39" s="21">
        <v>0</v>
      </c>
      <c r="E39" s="22">
        <f t="shared" si="3"/>
        <v>0</v>
      </c>
      <c r="F39" s="21">
        <v>30</v>
      </c>
      <c r="G39" s="22">
        <f t="shared" si="0"/>
        <v>100</v>
      </c>
      <c r="H39" s="21">
        <v>0</v>
      </c>
      <c r="I39" s="22">
        <f t="shared" si="1"/>
        <v>0</v>
      </c>
      <c r="J39" s="21">
        <v>515</v>
      </c>
      <c r="K39" s="21">
        <v>27</v>
      </c>
      <c r="L39" s="21">
        <v>513</v>
      </c>
      <c r="M39" s="21">
        <v>135</v>
      </c>
      <c r="N39" s="21">
        <v>8</v>
      </c>
      <c r="O39" s="21">
        <v>8</v>
      </c>
      <c r="P39" s="22">
        <f t="shared" si="2"/>
        <v>100</v>
      </c>
    </row>
    <row r="40" spans="1:16" ht="51.75" x14ac:dyDescent="0.25">
      <c r="A40" s="26" t="s">
        <v>58</v>
      </c>
      <c r="B40" s="20" t="s">
        <v>27</v>
      </c>
      <c r="C40" s="21">
        <v>113</v>
      </c>
      <c r="D40" s="21">
        <v>0</v>
      </c>
      <c r="E40" s="22">
        <f t="shared" si="3"/>
        <v>0</v>
      </c>
      <c r="F40" s="21">
        <v>113</v>
      </c>
      <c r="G40" s="22">
        <f t="shared" si="0"/>
        <v>100</v>
      </c>
      <c r="H40" s="21">
        <v>2</v>
      </c>
      <c r="I40" s="22">
        <f t="shared" si="1"/>
        <v>1.7699115044247788</v>
      </c>
      <c r="J40" s="21">
        <v>113</v>
      </c>
      <c r="K40" s="21">
        <v>18</v>
      </c>
      <c r="L40" s="21">
        <v>105</v>
      </c>
      <c r="M40" s="21">
        <v>72</v>
      </c>
      <c r="N40" s="21">
        <v>10</v>
      </c>
      <c r="O40" s="21">
        <v>10</v>
      </c>
      <c r="P40" s="22">
        <f t="shared" si="2"/>
        <v>100</v>
      </c>
    </row>
    <row r="41" spans="1:16" ht="64.5" x14ac:dyDescent="0.25">
      <c r="A41" s="26" t="s">
        <v>59</v>
      </c>
      <c r="B41" s="20" t="s">
        <v>27</v>
      </c>
      <c r="C41" s="21">
        <v>21</v>
      </c>
      <c r="D41" s="21">
        <v>0</v>
      </c>
      <c r="E41" s="22">
        <f t="shared" si="3"/>
        <v>0</v>
      </c>
      <c r="F41" s="21">
        <v>21</v>
      </c>
      <c r="G41" s="22">
        <f t="shared" si="0"/>
        <v>100</v>
      </c>
      <c r="H41" s="21">
        <v>0</v>
      </c>
      <c r="I41" s="22">
        <f t="shared" si="1"/>
        <v>0</v>
      </c>
      <c r="J41" s="21">
        <v>34</v>
      </c>
      <c r="K41" s="21">
        <v>1</v>
      </c>
      <c r="L41" s="21">
        <v>30</v>
      </c>
      <c r="M41" s="21">
        <v>63</v>
      </c>
      <c r="N41" s="21">
        <v>2</v>
      </c>
      <c r="O41" s="21">
        <v>2</v>
      </c>
      <c r="P41" s="22">
        <f t="shared" si="2"/>
        <v>100</v>
      </c>
    </row>
    <row r="42" spans="1:16" ht="51.75" x14ac:dyDescent="0.25">
      <c r="A42" s="26" t="s">
        <v>60</v>
      </c>
      <c r="B42" s="20" t="s">
        <v>27</v>
      </c>
      <c r="C42" s="21">
        <v>30</v>
      </c>
      <c r="D42" s="21">
        <v>0</v>
      </c>
      <c r="E42" s="22">
        <f t="shared" si="3"/>
        <v>0</v>
      </c>
      <c r="F42" s="21">
        <v>30</v>
      </c>
      <c r="G42" s="22">
        <f t="shared" si="0"/>
        <v>100</v>
      </c>
      <c r="H42" s="21">
        <v>0</v>
      </c>
      <c r="I42" s="22">
        <f t="shared" si="1"/>
        <v>0</v>
      </c>
      <c r="J42" s="21">
        <v>90</v>
      </c>
      <c r="K42" s="21">
        <v>18</v>
      </c>
      <c r="L42" s="21">
        <v>81</v>
      </c>
      <c r="M42" s="21">
        <v>45</v>
      </c>
      <c r="N42" s="21">
        <v>18</v>
      </c>
      <c r="O42" s="21">
        <v>18</v>
      </c>
      <c r="P42" s="22">
        <f t="shared" si="2"/>
        <v>100</v>
      </c>
    </row>
    <row r="43" spans="1:16" ht="51.75" x14ac:dyDescent="0.25">
      <c r="A43" s="26" t="s">
        <v>61</v>
      </c>
      <c r="B43" s="20" t="s">
        <v>27</v>
      </c>
      <c r="C43" s="21">
        <v>17</v>
      </c>
      <c r="D43" s="21">
        <v>0</v>
      </c>
      <c r="E43" s="22">
        <f t="shared" si="3"/>
        <v>0</v>
      </c>
      <c r="F43" s="21">
        <v>17</v>
      </c>
      <c r="G43" s="22">
        <f t="shared" si="0"/>
        <v>100</v>
      </c>
      <c r="H43" s="21">
        <v>0</v>
      </c>
      <c r="I43" s="22">
        <f t="shared" si="1"/>
        <v>0</v>
      </c>
      <c r="J43" s="21">
        <v>35</v>
      </c>
      <c r="K43" s="21">
        <v>9</v>
      </c>
      <c r="L43" s="21">
        <v>35</v>
      </c>
      <c r="M43" s="21">
        <v>24</v>
      </c>
      <c r="N43" s="21">
        <v>2</v>
      </c>
      <c r="O43" s="21">
        <v>2</v>
      </c>
      <c r="P43" s="22">
        <f t="shared" si="2"/>
        <v>100</v>
      </c>
    </row>
    <row r="44" spans="1:16" ht="51.75" x14ac:dyDescent="0.25">
      <c r="A44" s="26" t="s">
        <v>62</v>
      </c>
      <c r="B44" s="20" t="s">
        <v>27</v>
      </c>
      <c r="C44" s="21">
        <v>16</v>
      </c>
      <c r="D44" s="21"/>
      <c r="E44" s="22">
        <f t="shared" si="3"/>
        <v>0</v>
      </c>
      <c r="F44" s="21">
        <v>16</v>
      </c>
      <c r="G44" s="22">
        <f t="shared" si="0"/>
        <v>100</v>
      </c>
      <c r="H44" s="21">
        <v>0</v>
      </c>
      <c r="I44" s="22">
        <f t="shared" si="1"/>
        <v>0</v>
      </c>
      <c r="J44" s="21">
        <v>39</v>
      </c>
      <c r="K44" s="21">
        <v>15</v>
      </c>
      <c r="L44" s="21">
        <v>36</v>
      </c>
      <c r="M44" s="21">
        <v>21</v>
      </c>
      <c r="N44" s="21">
        <v>8</v>
      </c>
      <c r="O44" s="21">
        <v>8</v>
      </c>
      <c r="P44" s="22">
        <f t="shared" si="2"/>
        <v>100</v>
      </c>
    </row>
    <row r="45" spans="1:16" ht="39" x14ac:dyDescent="0.25">
      <c r="A45" s="26" t="s">
        <v>63</v>
      </c>
      <c r="B45" s="20" t="s">
        <v>27</v>
      </c>
      <c r="C45" s="21">
        <v>4</v>
      </c>
      <c r="D45" s="21">
        <v>0</v>
      </c>
      <c r="E45" s="22">
        <f t="shared" si="3"/>
        <v>0</v>
      </c>
      <c r="F45" s="21">
        <v>4</v>
      </c>
      <c r="G45" s="22">
        <f t="shared" si="0"/>
        <v>100</v>
      </c>
      <c r="H45" s="21">
        <v>1</v>
      </c>
      <c r="I45" s="22">
        <f t="shared" si="1"/>
        <v>25</v>
      </c>
      <c r="J45" s="21">
        <v>15</v>
      </c>
      <c r="K45" s="21">
        <v>8</v>
      </c>
      <c r="L45" s="21">
        <v>12</v>
      </c>
      <c r="M45" s="21">
        <v>15</v>
      </c>
      <c r="N45" s="21">
        <v>4</v>
      </c>
      <c r="O45" s="21">
        <v>4</v>
      </c>
      <c r="P45" s="22">
        <f t="shared" si="2"/>
        <v>100</v>
      </c>
    </row>
    <row r="46" spans="1:16" ht="51.75" x14ac:dyDescent="0.25">
      <c r="A46" s="26" t="s">
        <v>64</v>
      </c>
      <c r="B46" s="20" t="s">
        <v>27</v>
      </c>
      <c r="C46" s="21">
        <v>8</v>
      </c>
      <c r="D46" s="21">
        <v>0</v>
      </c>
      <c r="E46" s="22">
        <f t="shared" si="3"/>
        <v>0</v>
      </c>
      <c r="F46" s="21">
        <v>8</v>
      </c>
      <c r="G46" s="22">
        <f t="shared" si="0"/>
        <v>100</v>
      </c>
      <c r="H46" s="21">
        <v>0</v>
      </c>
      <c r="I46" s="22">
        <f t="shared" si="1"/>
        <v>0</v>
      </c>
      <c r="J46" s="21">
        <v>40</v>
      </c>
      <c r="K46" s="21">
        <v>40</v>
      </c>
      <c r="L46" s="21">
        <v>20</v>
      </c>
      <c r="M46" s="21">
        <v>20</v>
      </c>
      <c r="N46" s="21">
        <v>3</v>
      </c>
      <c r="O46" s="21">
        <v>3</v>
      </c>
      <c r="P46" s="22">
        <f t="shared" si="2"/>
        <v>100</v>
      </c>
    </row>
    <row r="47" spans="1:16" ht="77.25" x14ac:dyDescent="0.25">
      <c r="A47" s="26" t="s">
        <v>65</v>
      </c>
      <c r="B47" s="20" t="s">
        <v>27</v>
      </c>
      <c r="C47" s="21">
        <v>54</v>
      </c>
      <c r="D47" s="21">
        <v>0</v>
      </c>
      <c r="E47" s="22">
        <f t="shared" si="3"/>
        <v>0</v>
      </c>
      <c r="F47" s="21">
        <v>54</v>
      </c>
      <c r="G47" s="22">
        <f t="shared" si="0"/>
        <v>100</v>
      </c>
      <c r="H47" s="21">
        <v>0</v>
      </c>
      <c r="I47" s="22">
        <f t="shared" si="1"/>
        <v>0</v>
      </c>
      <c r="J47" s="21">
        <v>116</v>
      </c>
      <c r="K47" s="21">
        <v>27</v>
      </c>
      <c r="L47" s="21">
        <v>112</v>
      </c>
      <c r="M47" s="21">
        <v>99</v>
      </c>
      <c r="N47" s="21">
        <v>5</v>
      </c>
      <c r="O47" s="21">
        <v>5</v>
      </c>
      <c r="P47" s="22">
        <f t="shared" si="2"/>
        <v>100</v>
      </c>
    </row>
    <row r="48" spans="1:16" ht="39" x14ac:dyDescent="0.25">
      <c r="A48" s="26" t="s">
        <v>66</v>
      </c>
      <c r="B48" s="20" t="s">
        <v>27</v>
      </c>
      <c r="C48" s="21">
        <v>13</v>
      </c>
      <c r="D48" s="21">
        <v>0</v>
      </c>
      <c r="E48" s="22">
        <f t="shared" si="3"/>
        <v>0</v>
      </c>
      <c r="F48" s="21">
        <v>13</v>
      </c>
      <c r="G48" s="22">
        <f t="shared" si="0"/>
        <v>100</v>
      </c>
      <c r="H48" s="21">
        <v>0</v>
      </c>
      <c r="I48" s="22">
        <f t="shared" si="1"/>
        <v>0</v>
      </c>
      <c r="J48" s="21">
        <v>23</v>
      </c>
      <c r="K48" s="21">
        <v>9</v>
      </c>
      <c r="L48" s="21">
        <v>23</v>
      </c>
      <c r="M48" s="21">
        <v>54</v>
      </c>
      <c r="N48" s="21">
        <v>2</v>
      </c>
      <c r="O48" s="21">
        <v>2</v>
      </c>
      <c r="P48" s="22">
        <f t="shared" si="2"/>
        <v>100</v>
      </c>
    </row>
    <row r="49" spans="1:16" ht="39" x14ac:dyDescent="0.25">
      <c r="A49" s="26" t="s">
        <v>67</v>
      </c>
      <c r="B49" s="20" t="s">
        <v>27</v>
      </c>
      <c r="C49" s="21">
        <v>1</v>
      </c>
      <c r="D49" s="21">
        <v>0</v>
      </c>
      <c r="E49" s="22">
        <f t="shared" si="3"/>
        <v>0</v>
      </c>
      <c r="F49" s="21">
        <v>1</v>
      </c>
      <c r="G49" s="22">
        <f t="shared" si="0"/>
        <v>100</v>
      </c>
      <c r="H49" s="21">
        <v>0</v>
      </c>
      <c r="I49" s="22">
        <f t="shared" si="1"/>
        <v>0</v>
      </c>
      <c r="J49" s="21">
        <v>11</v>
      </c>
      <c r="K49" s="21">
        <v>9</v>
      </c>
      <c r="L49" s="21">
        <v>11</v>
      </c>
      <c r="M49" s="21">
        <v>9</v>
      </c>
      <c r="N49" s="21">
        <v>1</v>
      </c>
      <c r="O49" s="21">
        <v>1</v>
      </c>
      <c r="P49" s="22">
        <f t="shared" si="2"/>
        <v>100</v>
      </c>
    </row>
    <row r="50" spans="1:16" ht="77.25" x14ac:dyDescent="0.25">
      <c r="A50" s="26" t="s">
        <v>68</v>
      </c>
      <c r="B50" s="20" t="s">
        <v>27</v>
      </c>
      <c r="C50" s="21">
        <v>5</v>
      </c>
      <c r="D50" s="21">
        <v>0</v>
      </c>
      <c r="E50" s="22">
        <f t="shared" si="3"/>
        <v>0</v>
      </c>
      <c r="F50" s="21">
        <v>5</v>
      </c>
      <c r="G50" s="22">
        <f t="shared" si="0"/>
        <v>100</v>
      </c>
      <c r="H50" s="21">
        <v>0</v>
      </c>
      <c r="I50" s="22">
        <f t="shared" si="1"/>
        <v>0</v>
      </c>
      <c r="J50" s="21">
        <v>17</v>
      </c>
      <c r="K50" s="21">
        <v>5</v>
      </c>
      <c r="L50" s="21">
        <v>17</v>
      </c>
      <c r="M50" s="21">
        <v>16</v>
      </c>
      <c r="N50" s="21">
        <v>1</v>
      </c>
      <c r="O50" s="21">
        <v>1</v>
      </c>
      <c r="P50" s="22">
        <f t="shared" si="2"/>
        <v>100</v>
      </c>
    </row>
    <row r="51" spans="1:16" ht="64.5" x14ac:dyDescent="0.25">
      <c r="A51" s="26" t="s">
        <v>69</v>
      </c>
      <c r="B51" s="20" t="s">
        <v>27</v>
      </c>
      <c r="C51" s="21">
        <v>9</v>
      </c>
      <c r="D51" s="21">
        <v>0</v>
      </c>
      <c r="E51" s="22">
        <f t="shared" si="3"/>
        <v>0</v>
      </c>
      <c r="F51" s="21">
        <v>9</v>
      </c>
      <c r="G51" s="22">
        <f t="shared" si="0"/>
        <v>100</v>
      </c>
      <c r="H51" s="21">
        <v>0</v>
      </c>
      <c r="I51" s="22">
        <f t="shared" si="1"/>
        <v>0</v>
      </c>
      <c r="J51" s="21">
        <v>45</v>
      </c>
      <c r="K51" s="21">
        <v>15</v>
      </c>
      <c r="L51" s="21">
        <v>45</v>
      </c>
      <c r="M51" s="21">
        <v>21</v>
      </c>
      <c r="N51" s="21">
        <v>3</v>
      </c>
      <c r="O51" s="21">
        <v>3</v>
      </c>
      <c r="P51" s="22">
        <f t="shared" si="2"/>
        <v>100</v>
      </c>
    </row>
    <row r="52" spans="1:16" ht="52.5" thickBot="1" x14ac:dyDescent="0.3">
      <c r="A52" s="26" t="s">
        <v>70</v>
      </c>
      <c r="B52" s="20" t="s">
        <v>27</v>
      </c>
      <c r="C52" s="21">
        <v>55</v>
      </c>
      <c r="D52" s="21">
        <v>0</v>
      </c>
      <c r="E52" s="22">
        <f t="shared" si="3"/>
        <v>0</v>
      </c>
      <c r="F52" s="21">
        <v>55</v>
      </c>
      <c r="G52" s="22">
        <f>F52*100/C52</f>
        <v>100</v>
      </c>
      <c r="H52" s="21">
        <v>0</v>
      </c>
      <c r="I52" s="22">
        <f t="shared" si="1"/>
        <v>0</v>
      </c>
      <c r="J52" s="21">
        <v>80</v>
      </c>
      <c r="K52" s="21">
        <v>18</v>
      </c>
      <c r="L52" s="21">
        <v>79</v>
      </c>
      <c r="M52" s="21">
        <v>108</v>
      </c>
      <c r="N52" s="21">
        <v>2</v>
      </c>
      <c r="O52" s="21">
        <v>2</v>
      </c>
      <c r="P52" s="22">
        <f t="shared" si="2"/>
        <v>100</v>
      </c>
    </row>
    <row r="53" spans="1:16" ht="64.5" thickBot="1" x14ac:dyDescent="0.3">
      <c r="A53" s="27" t="s">
        <v>71</v>
      </c>
      <c r="B53" s="27" t="s">
        <v>72</v>
      </c>
      <c r="C53" s="28">
        <v>13</v>
      </c>
      <c r="D53" s="28">
        <v>0</v>
      </c>
      <c r="E53" s="29">
        <f t="shared" si="3"/>
        <v>0</v>
      </c>
      <c r="F53" s="28"/>
      <c r="G53" s="30">
        <f>F53*100/C53</f>
        <v>0</v>
      </c>
      <c r="H53" s="28"/>
      <c r="I53" s="28">
        <f>H53*100/C53</f>
        <v>0</v>
      </c>
      <c r="J53" s="28">
        <v>54</v>
      </c>
      <c r="K53" s="28">
        <v>9</v>
      </c>
      <c r="L53" s="28">
        <v>54</v>
      </c>
      <c r="M53" s="28">
        <v>126</v>
      </c>
      <c r="N53" s="28">
        <v>6</v>
      </c>
      <c r="O53" s="28">
        <v>6</v>
      </c>
      <c r="P53" s="16">
        <f>O53*100/N53</f>
        <v>100</v>
      </c>
    </row>
    <row r="54" spans="1:16" ht="64.5" thickBot="1" x14ac:dyDescent="0.3">
      <c r="A54" s="27" t="s">
        <v>73</v>
      </c>
      <c r="B54" s="27" t="s">
        <v>72</v>
      </c>
      <c r="C54" s="28">
        <v>34</v>
      </c>
      <c r="D54" s="28">
        <v>1</v>
      </c>
      <c r="E54" s="29">
        <f t="shared" si="3"/>
        <v>2.8571428571428572</v>
      </c>
      <c r="F54" s="28"/>
      <c r="G54" s="30">
        <f t="shared" ref="G54:G63" si="5">F54*100/C54</f>
        <v>0</v>
      </c>
      <c r="H54" s="28"/>
      <c r="I54" s="28">
        <f t="shared" ref="I54:I60" si="6">H54*100/C54</f>
        <v>0</v>
      </c>
      <c r="J54" s="28">
        <v>28</v>
      </c>
      <c r="K54" s="28">
        <v>4</v>
      </c>
      <c r="L54" s="28">
        <v>28</v>
      </c>
      <c r="M54" s="28">
        <v>58</v>
      </c>
      <c r="N54" s="28">
        <v>3</v>
      </c>
      <c r="O54" s="28">
        <v>3</v>
      </c>
      <c r="P54" s="16">
        <f t="shared" ref="P54:P63" si="7">O54*100/N54</f>
        <v>100</v>
      </c>
    </row>
    <row r="55" spans="1:16" ht="51.75" thickBot="1" x14ac:dyDescent="0.3">
      <c r="A55" s="27" t="s">
        <v>74</v>
      </c>
      <c r="B55" s="27" t="s">
        <v>72</v>
      </c>
      <c r="C55" s="28">
        <v>30</v>
      </c>
      <c r="D55" s="28">
        <v>1</v>
      </c>
      <c r="E55" s="29">
        <f t="shared" si="3"/>
        <v>3.225806451612903</v>
      </c>
      <c r="F55" s="28"/>
      <c r="G55" s="30">
        <f t="shared" si="5"/>
        <v>0</v>
      </c>
      <c r="H55" s="28"/>
      <c r="I55" s="28">
        <f t="shared" si="6"/>
        <v>0</v>
      </c>
      <c r="J55" s="28">
        <v>51</v>
      </c>
      <c r="K55" s="28">
        <v>4</v>
      </c>
      <c r="L55" s="28">
        <v>51</v>
      </c>
      <c r="M55" s="28">
        <v>75</v>
      </c>
      <c r="N55" s="28">
        <v>10</v>
      </c>
      <c r="O55" s="28">
        <v>10</v>
      </c>
      <c r="P55" s="16">
        <f t="shared" si="7"/>
        <v>100</v>
      </c>
    </row>
    <row r="56" spans="1:16" ht="52.5" thickBot="1" x14ac:dyDescent="0.3">
      <c r="A56" s="31" t="s">
        <v>75</v>
      </c>
      <c r="B56" s="27" t="s">
        <v>72</v>
      </c>
      <c r="C56" s="28">
        <v>34</v>
      </c>
      <c r="D56" s="28"/>
      <c r="E56" s="28">
        <f t="shared" si="3"/>
        <v>0</v>
      </c>
      <c r="F56" s="28"/>
      <c r="G56" s="30">
        <f t="shared" si="5"/>
        <v>0</v>
      </c>
      <c r="H56" s="28"/>
      <c r="I56" s="28">
        <f t="shared" si="6"/>
        <v>0</v>
      </c>
      <c r="J56" s="28">
        <v>40</v>
      </c>
      <c r="K56" s="28">
        <v>10</v>
      </c>
      <c r="L56" s="28">
        <v>40</v>
      </c>
      <c r="M56" s="28"/>
      <c r="N56" s="28"/>
      <c r="O56" s="28"/>
      <c r="P56" s="16"/>
    </row>
    <row r="57" spans="1:16" ht="39.75" thickBot="1" x14ac:dyDescent="0.3">
      <c r="A57" s="31" t="s">
        <v>76</v>
      </c>
      <c r="B57" s="27" t="s">
        <v>72</v>
      </c>
      <c r="C57" s="28">
        <v>4</v>
      </c>
      <c r="D57" s="28"/>
      <c r="E57" s="28">
        <f t="shared" si="3"/>
        <v>0</v>
      </c>
      <c r="F57" s="28"/>
      <c r="G57" s="30">
        <f t="shared" si="5"/>
        <v>0</v>
      </c>
      <c r="H57" s="28"/>
      <c r="I57" s="28">
        <f t="shared" si="6"/>
        <v>0</v>
      </c>
      <c r="J57" s="28">
        <v>8</v>
      </c>
      <c r="K57" s="28">
        <v>2</v>
      </c>
      <c r="L57" s="28">
        <v>8</v>
      </c>
      <c r="M57" s="28"/>
      <c r="N57" s="28"/>
      <c r="O57" s="28"/>
      <c r="P57" s="16"/>
    </row>
    <row r="58" spans="1:16" ht="64.5" thickBot="1" x14ac:dyDescent="0.3">
      <c r="A58" s="32" t="s">
        <v>77</v>
      </c>
      <c r="B58" s="27" t="s">
        <v>72</v>
      </c>
      <c r="C58" s="28">
        <v>3</v>
      </c>
      <c r="D58" s="28">
        <v>0</v>
      </c>
      <c r="E58" s="28">
        <f t="shared" si="3"/>
        <v>0</v>
      </c>
      <c r="F58" s="28"/>
      <c r="G58" s="30">
        <f t="shared" si="5"/>
        <v>0</v>
      </c>
      <c r="H58" s="28"/>
      <c r="I58" s="28">
        <f t="shared" si="6"/>
        <v>0</v>
      </c>
      <c r="J58" s="28">
        <v>5</v>
      </c>
      <c r="K58" s="28">
        <v>1</v>
      </c>
      <c r="L58" s="28">
        <v>5</v>
      </c>
      <c r="M58" s="28">
        <v>9</v>
      </c>
      <c r="N58" s="28">
        <v>2</v>
      </c>
      <c r="O58" s="28">
        <v>2</v>
      </c>
      <c r="P58" s="16">
        <f t="shared" si="7"/>
        <v>100</v>
      </c>
    </row>
    <row r="59" spans="1:16" ht="51.75" thickBot="1" x14ac:dyDescent="0.3">
      <c r="A59" s="32" t="s">
        <v>78</v>
      </c>
      <c r="B59" s="27" t="s">
        <v>72</v>
      </c>
      <c r="C59" s="28">
        <v>22</v>
      </c>
      <c r="D59" s="28">
        <v>3</v>
      </c>
      <c r="E59" s="28">
        <f t="shared" si="3"/>
        <v>12</v>
      </c>
      <c r="F59" s="28"/>
      <c r="G59" s="30">
        <f t="shared" si="5"/>
        <v>0</v>
      </c>
      <c r="H59" s="28"/>
      <c r="I59" s="28">
        <f t="shared" si="6"/>
        <v>0</v>
      </c>
      <c r="J59" s="28">
        <v>57</v>
      </c>
      <c r="K59" s="28">
        <v>9</v>
      </c>
      <c r="L59" s="28">
        <v>57</v>
      </c>
      <c r="M59" s="28">
        <v>93</v>
      </c>
      <c r="N59" s="28">
        <v>5</v>
      </c>
      <c r="O59" s="28">
        <v>5</v>
      </c>
      <c r="P59" s="16">
        <f t="shared" si="7"/>
        <v>100</v>
      </c>
    </row>
    <row r="60" spans="1:16" ht="39" thickBot="1" x14ac:dyDescent="0.3">
      <c r="A60" s="32" t="s">
        <v>79</v>
      </c>
      <c r="B60" s="27" t="s">
        <v>72</v>
      </c>
      <c r="C60" s="28">
        <v>9</v>
      </c>
      <c r="D60" s="28">
        <v>1</v>
      </c>
      <c r="E60" s="28">
        <f t="shared" si="3"/>
        <v>10</v>
      </c>
      <c r="F60" s="28"/>
      <c r="G60" s="30">
        <f t="shared" si="5"/>
        <v>0</v>
      </c>
      <c r="H60" s="28"/>
      <c r="I60" s="28">
        <f t="shared" si="6"/>
        <v>0</v>
      </c>
      <c r="J60" s="28">
        <v>26</v>
      </c>
      <c r="K60" s="28">
        <v>9</v>
      </c>
      <c r="L60" s="28">
        <v>26</v>
      </c>
      <c r="M60" s="28">
        <v>27</v>
      </c>
      <c r="N60" s="28">
        <v>10</v>
      </c>
      <c r="O60" s="28">
        <v>10</v>
      </c>
      <c r="P60" s="16">
        <f t="shared" si="7"/>
        <v>100</v>
      </c>
    </row>
    <row r="61" spans="1:16" ht="90" thickBot="1" x14ac:dyDescent="0.3">
      <c r="A61" s="32" t="s">
        <v>80</v>
      </c>
      <c r="B61" s="27" t="s">
        <v>72</v>
      </c>
      <c r="C61" s="28">
        <v>3</v>
      </c>
      <c r="D61" s="28">
        <v>0</v>
      </c>
      <c r="E61" s="28">
        <f t="shared" si="3"/>
        <v>0</v>
      </c>
      <c r="F61" s="28"/>
      <c r="G61" s="28">
        <f>F61*100/C61</f>
        <v>0</v>
      </c>
      <c r="H61" s="28"/>
      <c r="I61" s="28">
        <f>H61*100/C61</f>
        <v>0</v>
      </c>
      <c r="J61" s="28">
        <v>15</v>
      </c>
      <c r="K61" s="28">
        <v>3</v>
      </c>
      <c r="L61" s="28">
        <v>15</v>
      </c>
      <c r="M61" s="28">
        <v>40.5</v>
      </c>
      <c r="N61" s="28">
        <v>1</v>
      </c>
      <c r="O61" s="28">
        <v>1</v>
      </c>
      <c r="P61" s="16">
        <f t="shared" si="7"/>
        <v>100</v>
      </c>
    </row>
    <row r="62" spans="1:16" ht="102.75" thickBot="1" x14ac:dyDescent="0.3">
      <c r="A62" s="32" t="s">
        <v>81</v>
      </c>
      <c r="B62" s="27" t="s">
        <v>72</v>
      </c>
      <c r="C62" s="28">
        <v>31</v>
      </c>
      <c r="D62" s="28">
        <v>12</v>
      </c>
      <c r="E62" s="29">
        <f t="shared" si="3"/>
        <v>27.906976744186046</v>
      </c>
      <c r="F62" s="28"/>
      <c r="G62" s="30">
        <f t="shared" si="5"/>
        <v>0</v>
      </c>
      <c r="H62" s="28"/>
      <c r="I62" s="28">
        <f t="shared" ref="I62:I63" si="8">H62*100/C62</f>
        <v>0</v>
      </c>
      <c r="J62" s="28">
        <v>17</v>
      </c>
      <c r="K62" s="28">
        <v>4</v>
      </c>
      <c r="L62" s="28">
        <v>17</v>
      </c>
      <c r="M62" s="28">
        <v>72</v>
      </c>
      <c r="N62" s="28">
        <v>4</v>
      </c>
      <c r="O62" s="28">
        <v>3</v>
      </c>
      <c r="P62" s="16">
        <f t="shared" si="7"/>
        <v>75</v>
      </c>
    </row>
    <row r="63" spans="1:16" ht="39" thickBot="1" x14ac:dyDescent="0.3">
      <c r="A63" s="32" t="s">
        <v>82</v>
      </c>
      <c r="B63" s="27" t="s">
        <v>72</v>
      </c>
      <c r="C63" s="28">
        <v>368</v>
      </c>
      <c r="D63" s="28"/>
      <c r="E63" s="29">
        <f t="shared" si="3"/>
        <v>0</v>
      </c>
      <c r="F63" s="28"/>
      <c r="G63" s="30">
        <f t="shared" si="5"/>
        <v>0</v>
      </c>
      <c r="H63" s="28"/>
      <c r="I63" s="28">
        <f t="shared" si="8"/>
        <v>0</v>
      </c>
      <c r="J63" s="28">
        <v>1940</v>
      </c>
      <c r="K63" s="28">
        <v>20</v>
      </c>
      <c r="L63" s="28">
        <v>1940</v>
      </c>
      <c r="M63" s="28">
        <v>151</v>
      </c>
      <c r="N63" s="28">
        <v>42</v>
      </c>
      <c r="O63" s="28">
        <v>42</v>
      </c>
      <c r="P63" s="16">
        <f t="shared" si="7"/>
        <v>100</v>
      </c>
    </row>
    <row r="64" spans="1:16" x14ac:dyDescent="0.25">
      <c r="A64" s="33" t="s">
        <v>83</v>
      </c>
      <c r="B64" s="33" t="s">
        <v>84</v>
      </c>
      <c r="C64" s="34">
        <v>319</v>
      </c>
      <c r="D64" s="34">
        <v>31</v>
      </c>
      <c r="E64" s="35">
        <f>D64*100/(D64+C64)</f>
        <v>8.8571428571428577</v>
      </c>
      <c r="F64" s="34">
        <v>18</v>
      </c>
      <c r="G64" s="35">
        <f>F64*100/C64</f>
        <v>5.6426332288401255</v>
      </c>
      <c r="H64" s="34">
        <v>5</v>
      </c>
      <c r="I64" s="35">
        <f>H64*100/C64</f>
        <v>1.567398119122257</v>
      </c>
      <c r="J64" s="34">
        <v>1415</v>
      </c>
      <c r="K64" s="34">
        <v>230.5</v>
      </c>
      <c r="L64" s="34">
        <v>1381</v>
      </c>
      <c r="M64" s="34">
        <v>501.5</v>
      </c>
      <c r="N64" s="34">
        <v>28</v>
      </c>
      <c r="O64" s="34">
        <v>28</v>
      </c>
      <c r="P64" s="35">
        <f>O64*100/N64</f>
        <v>100</v>
      </c>
    </row>
    <row r="65" spans="1:16" x14ac:dyDescent="0.25">
      <c r="A65" s="33" t="s">
        <v>85</v>
      </c>
      <c r="B65" s="33" t="s">
        <v>84</v>
      </c>
      <c r="C65" s="34">
        <v>145</v>
      </c>
      <c r="D65" s="34">
        <v>10</v>
      </c>
      <c r="E65" s="35">
        <f>D65*100/(D65+C65)</f>
        <v>6.4516129032258061</v>
      </c>
      <c r="F65" s="34">
        <v>4</v>
      </c>
      <c r="G65" s="35">
        <f>F65*100/C65</f>
        <v>2.7586206896551726</v>
      </c>
      <c r="H65" s="34">
        <v>27</v>
      </c>
      <c r="I65" s="35">
        <f>H65*100/C65</f>
        <v>18.620689655172413</v>
      </c>
      <c r="J65" s="34">
        <v>899</v>
      </c>
      <c r="K65" s="34">
        <v>192</v>
      </c>
      <c r="L65" s="34">
        <v>798</v>
      </c>
      <c r="M65" s="34">
        <v>320.5</v>
      </c>
      <c r="N65" s="34">
        <v>36</v>
      </c>
      <c r="O65" s="34">
        <v>36</v>
      </c>
      <c r="P65" s="35">
        <f>O65*100/N65</f>
        <v>100</v>
      </c>
    </row>
    <row r="66" spans="1:16" x14ac:dyDescent="0.25">
      <c r="A66" s="33" t="s">
        <v>86</v>
      </c>
      <c r="B66" s="33" t="s">
        <v>84</v>
      </c>
      <c r="C66" s="34">
        <v>232</v>
      </c>
      <c r="D66" s="34">
        <v>17</v>
      </c>
      <c r="E66" s="35">
        <f>D66*100/(D66+C66)</f>
        <v>6.8273092369477908</v>
      </c>
      <c r="F66" s="34">
        <v>0</v>
      </c>
      <c r="G66" s="35">
        <f>F66*100/C66</f>
        <v>0</v>
      </c>
      <c r="H66" s="34">
        <v>99</v>
      </c>
      <c r="I66" s="35">
        <f>H66*100/C66</f>
        <v>42.672413793103445</v>
      </c>
      <c r="J66" s="34">
        <v>933</v>
      </c>
      <c r="K66" s="34">
        <v>183.5</v>
      </c>
      <c r="L66" s="34">
        <v>662</v>
      </c>
      <c r="M66" s="34">
        <v>369</v>
      </c>
      <c r="N66" s="34">
        <v>85</v>
      </c>
      <c r="O66" s="34">
        <v>85</v>
      </c>
      <c r="P66" s="35">
        <f>O66*100/N66</f>
        <v>100</v>
      </c>
    </row>
    <row r="67" spans="1:16" x14ac:dyDescent="0.25">
      <c r="A67" s="36" t="s">
        <v>87</v>
      </c>
      <c r="B67" s="37" t="s">
        <v>72</v>
      </c>
      <c r="C67" s="38">
        <v>343</v>
      </c>
      <c r="D67" s="38">
        <v>0</v>
      </c>
      <c r="E67" s="39">
        <v>0</v>
      </c>
      <c r="F67" s="38">
        <v>1</v>
      </c>
      <c r="G67" s="39">
        <v>0.29154518950437319</v>
      </c>
      <c r="H67" s="38">
        <v>40</v>
      </c>
      <c r="I67" s="39">
        <v>11.661807580174926</v>
      </c>
      <c r="J67" s="38">
        <v>2627</v>
      </c>
      <c r="K67" s="38">
        <v>234</v>
      </c>
      <c r="L67" s="38">
        <v>2626</v>
      </c>
      <c r="M67" s="38">
        <v>1152</v>
      </c>
      <c r="N67" s="40">
        <v>0</v>
      </c>
      <c r="O67" s="40">
        <v>0</v>
      </c>
      <c r="P67" s="39"/>
    </row>
    <row r="68" spans="1:16" x14ac:dyDescent="0.25">
      <c r="A68" s="36" t="s">
        <v>88</v>
      </c>
      <c r="B68" s="37" t="s">
        <v>72</v>
      </c>
      <c r="C68" s="38">
        <v>17</v>
      </c>
      <c r="D68" s="38">
        <v>5</v>
      </c>
      <c r="E68" s="39">
        <v>22.727272727272727</v>
      </c>
      <c r="F68" s="38">
        <v>62</v>
      </c>
      <c r="G68" s="39">
        <v>364.70588235294116</v>
      </c>
      <c r="H68" s="38">
        <v>4</v>
      </c>
      <c r="I68" s="39">
        <v>23.529411764705884</v>
      </c>
      <c r="J68" s="38">
        <v>62</v>
      </c>
      <c r="K68" s="38">
        <v>9</v>
      </c>
      <c r="L68" s="38">
        <v>62</v>
      </c>
      <c r="M68" s="38">
        <v>189</v>
      </c>
      <c r="N68" s="38">
        <v>4</v>
      </c>
      <c r="O68" s="38">
        <v>4</v>
      </c>
      <c r="P68" s="39">
        <v>100</v>
      </c>
    </row>
    <row r="69" spans="1:16" x14ac:dyDescent="0.25">
      <c r="A69" s="36" t="s">
        <v>89</v>
      </c>
      <c r="B69" s="37" t="s">
        <v>72</v>
      </c>
      <c r="C69" s="38">
        <v>59</v>
      </c>
      <c r="D69" s="38">
        <v>9</v>
      </c>
      <c r="E69" s="39">
        <v>13.235294117647058</v>
      </c>
      <c r="F69" s="38">
        <v>57</v>
      </c>
      <c r="G69" s="39">
        <v>96.610169491525426</v>
      </c>
      <c r="H69" s="38">
        <v>1</v>
      </c>
      <c r="I69" s="39">
        <v>1.6949152542372881</v>
      </c>
      <c r="J69" s="38">
        <v>417</v>
      </c>
      <c r="K69" s="38">
        <v>45</v>
      </c>
      <c r="L69" s="38">
        <v>332</v>
      </c>
      <c r="M69" s="38">
        <v>202.5</v>
      </c>
      <c r="N69" s="38">
        <v>1</v>
      </c>
      <c r="O69" s="38">
        <v>1</v>
      </c>
      <c r="P69" s="39">
        <v>100</v>
      </c>
    </row>
    <row r="70" spans="1:16" x14ac:dyDescent="0.25">
      <c r="A70" s="36" t="s">
        <v>90</v>
      </c>
      <c r="B70" s="37" t="s">
        <v>72</v>
      </c>
      <c r="C70" s="38">
        <v>12</v>
      </c>
      <c r="D70" s="38">
        <v>4</v>
      </c>
      <c r="E70" s="39">
        <v>25</v>
      </c>
      <c r="F70" s="38">
        <v>10</v>
      </c>
      <c r="G70" s="39">
        <v>83.333333333333329</v>
      </c>
      <c r="H70" s="38">
        <v>2</v>
      </c>
      <c r="I70" s="39">
        <v>16.666666666666668</v>
      </c>
      <c r="J70" s="38">
        <v>33</v>
      </c>
      <c r="K70" s="38">
        <v>9</v>
      </c>
      <c r="L70" s="38">
        <v>33</v>
      </c>
      <c r="M70" s="38">
        <v>54</v>
      </c>
      <c r="N70" s="38">
        <v>2</v>
      </c>
      <c r="O70" s="38">
        <v>2</v>
      </c>
      <c r="P70" s="39">
        <v>100</v>
      </c>
    </row>
    <row r="71" spans="1:16" x14ac:dyDescent="0.25">
      <c r="A71" s="41" t="s">
        <v>91</v>
      </c>
      <c r="B71" s="37" t="s">
        <v>72</v>
      </c>
      <c r="C71" s="38">
        <v>13</v>
      </c>
      <c r="D71" s="38">
        <v>2</v>
      </c>
      <c r="E71" s="39">
        <v>13.333333333333334</v>
      </c>
      <c r="F71" s="38">
        <v>13</v>
      </c>
      <c r="G71" s="39">
        <v>100</v>
      </c>
      <c r="H71" s="38">
        <v>1</v>
      </c>
      <c r="I71" s="39">
        <v>7.6923076923076925</v>
      </c>
      <c r="J71" s="38">
        <v>82</v>
      </c>
      <c r="K71" s="38">
        <v>13.5</v>
      </c>
      <c r="L71" s="38">
        <v>82</v>
      </c>
      <c r="M71" s="38">
        <v>45</v>
      </c>
      <c r="N71" s="38">
        <v>1</v>
      </c>
      <c r="O71" s="38">
        <v>1</v>
      </c>
      <c r="P71" s="39">
        <v>100</v>
      </c>
    </row>
    <row r="72" spans="1:16" x14ac:dyDescent="0.25">
      <c r="A72" s="41" t="s">
        <v>92</v>
      </c>
      <c r="B72" s="37" t="s">
        <v>72</v>
      </c>
      <c r="C72" s="38">
        <v>13</v>
      </c>
      <c r="D72" s="38">
        <v>2</v>
      </c>
      <c r="E72" s="39">
        <v>13.333333333333334</v>
      </c>
      <c r="F72" s="38">
        <v>13</v>
      </c>
      <c r="G72" s="39">
        <v>100</v>
      </c>
      <c r="H72" s="38">
        <v>1</v>
      </c>
      <c r="I72" s="39">
        <v>7.6923076923076925</v>
      </c>
      <c r="J72" s="38">
        <v>92</v>
      </c>
      <c r="K72" s="38">
        <v>13.5</v>
      </c>
      <c r="L72" s="38">
        <v>92</v>
      </c>
      <c r="M72" s="38">
        <v>45</v>
      </c>
      <c r="N72" s="38">
        <v>1</v>
      </c>
      <c r="O72" s="38">
        <v>1</v>
      </c>
      <c r="P72" s="39">
        <v>100</v>
      </c>
    </row>
    <row r="73" spans="1:16" x14ac:dyDescent="0.25">
      <c r="A73" s="42" t="s">
        <v>93</v>
      </c>
      <c r="B73" s="37" t="s">
        <v>72</v>
      </c>
      <c r="C73" s="38">
        <v>4</v>
      </c>
      <c r="D73" s="38">
        <v>4</v>
      </c>
      <c r="E73" s="39">
        <v>50</v>
      </c>
      <c r="F73" s="38">
        <v>4</v>
      </c>
      <c r="G73" s="39">
        <v>100</v>
      </c>
      <c r="H73" s="38">
        <v>2</v>
      </c>
      <c r="I73" s="39">
        <v>50</v>
      </c>
      <c r="J73" s="38">
        <v>25</v>
      </c>
      <c r="K73" s="38">
        <v>4.5</v>
      </c>
      <c r="L73" s="38">
        <v>25</v>
      </c>
      <c r="M73" s="38">
        <v>22.5</v>
      </c>
      <c r="N73" s="38">
        <v>2</v>
      </c>
      <c r="O73" s="38">
        <v>2</v>
      </c>
      <c r="P73" s="39">
        <v>100</v>
      </c>
    </row>
    <row r="74" spans="1:16" x14ac:dyDescent="0.25">
      <c r="A74" s="41" t="s">
        <v>94</v>
      </c>
      <c r="B74" s="37" t="s">
        <v>72</v>
      </c>
      <c r="C74" s="38">
        <v>11</v>
      </c>
      <c r="D74" s="38">
        <v>2</v>
      </c>
      <c r="E74" s="39">
        <v>15.384615384615385</v>
      </c>
      <c r="F74" s="38">
        <v>11</v>
      </c>
      <c r="G74" s="39">
        <v>100</v>
      </c>
      <c r="H74" s="38">
        <v>3</v>
      </c>
      <c r="I74" s="39">
        <v>27.272727272727273</v>
      </c>
      <c r="J74" s="38">
        <v>54</v>
      </c>
      <c r="K74" s="38">
        <v>9</v>
      </c>
      <c r="L74" s="38">
        <v>54</v>
      </c>
      <c r="M74" s="38">
        <v>36</v>
      </c>
      <c r="N74" s="38">
        <v>3</v>
      </c>
      <c r="O74" s="38">
        <v>3</v>
      </c>
      <c r="P74" s="39">
        <v>100</v>
      </c>
    </row>
    <row r="75" spans="1:16" x14ac:dyDescent="0.25">
      <c r="A75" s="36" t="s">
        <v>95</v>
      </c>
      <c r="B75" s="37" t="s">
        <v>72</v>
      </c>
      <c r="C75" s="38">
        <v>16</v>
      </c>
      <c r="D75" s="38">
        <v>3</v>
      </c>
      <c r="E75" s="39">
        <v>15.789473684210526</v>
      </c>
      <c r="F75" s="38">
        <v>16</v>
      </c>
      <c r="G75" s="39">
        <v>100</v>
      </c>
      <c r="H75" s="38">
        <v>4</v>
      </c>
      <c r="I75" s="39">
        <v>25</v>
      </c>
      <c r="J75" s="38">
        <v>13</v>
      </c>
      <c r="K75" s="38">
        <v>4.5</v>
      </c>
      <c r="L75" s="38">
        <v>13</v>
      </c>
      <c r="M75" s="38">
        <v>36</v>
      </c>
      <c r="N75" s="38">
        <v>4</v>
      </c>
      <c r="O75" s="38">
        <v>4</v>
      </c>
      <c r="P75" s="39">
        <v>100</v>
      </c>
    </row>
    <row r="76" spans="1:16" x14ac:dyDescent="0.25">
      <c r="A76" s="36" t="s">
        <v>96</v>
      </c>
      <c r="B76" s="37" t="s">
        <v>72</v>
      </c>
      <c r="C76" s="38">
        <v>17</v>
      </c>
      <c r="D76" s="38">
        <v>0</v>
      </c>
      <c r="E76" s="39">
        <v>0</v>
      </c>
      <c r="F76" s="38">
        <v>16</v>
      </c>
      <c r="G76" s="39">
        <v>94.117647058823536</v>
      </c>
      <c r="H76" s="38">
        <v>1</v>
      </c>
      <c r="I76" s="39">
        <v>5.882352941176471</v>
      </c>
      <c r="J76" s="38">
        <v>28</v>
      </c>
      <c r="K76" s="38">
        <v>4.5</v>
      </c>
      <c r="L76" s="38">
        <v>28</v>
      </c>
      <c r="M76" s="38">
        <v>45</v>
      </c>
      <c r="N76" s="38">
        <v>1</v>
      </c>
      <c r="O76" s="38">
        <v>1</v>
      </c>
      <c r="P76" s="39">
        <v>100</v>
      </c>
    </row>
    <row r="77" spans="1:16" x14ac:dyDescent="0.25">
      <c r="A77" s="36" t="s">
        <v>97</v>
      </c>
      <c r="B77" s="37" t="s">
        <v>72</v>
      </c>
      <c r="C77" s="38">
        <v>56</v>
      </c>
      <c r="D77" s="38">
        <v>2</v>
      </c>
      <c r="E77" s="39">
        <v>3.4482758620689653</v>
      </c>
      <c r="F77" s="38">
        <v>53</v>
      </c>
      <c r="G77" s="39">
        <v>94.642857142857139</v>
      </c>
      <c r="H77" s="38">
        <v>6</v>
      </c>
      <c r="I77" s="39">
        <v>10.714285714285714</v>
      </c>
      <c r="J77" s="38">
        <v>115</v>
      </c>
      <c r="K77" s="38">
        <v>9</v>
      </c>
      <c r="L77" s="38">
        <v>115</v>
      </c>
      <c r="M77" s="38">
        <v>63</v>
      </c>
      <c r="N77" s="38">
        <v>6</v>
      </c>
      <c r="O77" s="38">
        <v>6</v>
      </c>
      <c r="P77" s="39">
        <v>100</v>
      </c>
    </row>
    <row r="78" spans="1:16" x14ac:dyDescent="0.25">
      <c r="A78" s="36" t="s">
        <v>98</v>
      </c>
      <c r="B78" s="37" t="s">
        <v>72</v>
      </c>
      <c r="C78" s="38">
        <v>6</v>
      </c>
      <c r="D78" s="38">
        <v>0</v>
      </c>
      <c r="E78" s="39">
        <v>0</v>
      </c>
      <c r="F78" s="38">
        <v>6</v>
      </c>
      <c r="G78" s="39">
        <v>100</v>
      </c>
      <c r="H78" s="38">
        <v>1</v>
      </c>
      <c r="I78" s="39">
        <v>16.666666666666668</v>
      </c>
      <c r="J78" s="38">
        <v>44</v>
      </c>
      <c r="K78" s="38">
        <v>4.5</v>
      </c>
      <c r="L78" s="38">
        <v>44</v>
      </c>
      <c r="M78" s="38">
        <v>36</v>
      </c>
      <c r="N78" s="38">
        <v>1</v>
      </c>
      <c r="O78" s="38">
        <v>1</v>
      </c>
      <c r="P78" s="39">
        <v>100</v>
      </c>
    </row>
  </sheetData>
  <mergeCells count="1">
    <mergeCell ref="M26:M3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2018-03-22T10:54:09Z</dcterms:modified>
</cp:coreProperties>
</file>