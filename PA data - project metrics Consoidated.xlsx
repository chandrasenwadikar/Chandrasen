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029"/>
  <workbookPr defaultThemeVersion="166925"/>
  <mc:AlternateContent xmlns:mc="http://schemas.openxmlformats.org/markup-compatibility/2006">
    <mc:Choice Requires="x15">
      <x15ac:absPath xmlns:x15ac="http://schemas.microsoft.com/office/spreadsheetml/2010/11/ac" url="C:\Users\chandrasen.wadikar\Desktop\"/>
    </mc:Choice>
  </mc:AlternateContent>
  <xr:revisionPtr revIDLastSave="0" documentId="13_ncr:1_{CC129D2A-85E7-47A2-AC6B-A0E6D16F1B13}" xr6:coauthVersionLast="28" xr6:coauthVersionMax="28" xr10:uidLastSave="{00000000-0000-0000-0000-000000000000}"/>
  <bookViews>
    <workbookView xWindow="0" yWindow="0" windowWidth="20490" windowHeight="7530" xr2:uid="{4184F481-52EC-4A7C-A163-44F3164E3931}"/>
  </bookViews>
  <sheets>
    <sheet name="Data" sheetId="1" r:id="rId1"/>
    <sheet name="Sheet1" sheetId="2" state="hidden" r:id="rId2"/>
  </sheets>
  <definedNames>
    <definedName name="_xlnm._FilterDatabase" localSheetId="1" hidden="1">Sheet1!$B$1:$K$1227</definedName>
    <definedName name="_xlchart.v1.0" hidden="1">Data!$A$2:$I$91</definedName>
    <definedName name="_xlchart.v1.1" hidden="1">Data!$J$1</definedName>
    <definedName name="_xlchart.v1.10" hidden="1">Data!$N$2:$N$91</definedName>
    <definedName name="_xlchart.v1.11" hidden="1">Data!$O$1</definedName>
    <definedName name="_xlchart.v1.12" hidden="1">Data!$O$2:$O$91</definedName>
    <definedName name="_xlchart.v1.13" hidden="1">Data!$P$1</definedName>
    <definedName name="_xlchart.v1.14" hidden="1">Data!$P$2:$P$91</definedName>
    <definedName name="_xlchart.v1.15" hidden="1">Data!$Q$1</definedName>
    <definedName name="_xlchart.v1.16" hidden="1">Data!$Q$2:$Q$91</definedName>
    <definedName name="_xlchart.v1.17" hidden="1">Data!$R$1</definedName>
    <definedName name="_xlchart.v1.18" hidden="1">Data!$R$2:$R$91</definedName>
    <definedName name="_xlchart.v1.19" hidden="1">Data!$A$2:$I$91</definedName>
    <definedName name="_xlchart.v1.2" hidden="1">Data!$J$2:$J$91</definedName>
    <definedName name="_xlchart.v1.20" hidden="1">Data!$J$1</definedName>
    <definedName name="_xlchart.v1.21" hidden="1">Data!$J$2:$J$91</definedName>
    <definedName name="_xlchart.v1.22" hidden="1">Data!$K$1</definedName>
    <definedName name="_xlchart.v1.23" hidden="1">Data!$K$2:$K$91</definedName>
    <definedName name="_xlchart.v1.24" hidden="1">Data!$L$1</definedName>
    <definedName name="_xlchart.v1.25" hidden="1">Data!$L$2:$L$91</definedName>
    <definedName name="_xlchart.v1.26" hidden="1">Data!$M$1</definedName>
    <definedName name="_xlchart.v1.27" hidden="1">Data!$M$2:$M$91</definedName>
    <definedName name="_xlchart.v1.28" hidden="1">Data!$N$1</definedName>
    <definedName name="_xlchart.v1.29" hidden="1">Data!$N$2:$N$91</definedName>
    <definedName name="_xlchart.v1.3" hidden="1">Data!$K$1</definedName>
    <definedName name="_xlchart.v1.30" hidden="1">Data!$O$1</definedName>
    <definedName name="_xlchart.v1.31" hidden="1">Data!$O$2:$O$91</definedName>
    <definedName name="_xlchart.v1.32" hidden="1">Data!$P$1</definedName>
    <definedName name="_xlchart.v1.33" hidden="1">Data!$P$2:$P$91</definedName>
    <definedName name="_xlchart.v1.34" hidden="1">Data!$Q$1</definedName>
    <definedName name="_xlchart.v1.35" hidden="1">Data!$Q$2:$Q$91</definedName>
    <definedName name="_xlchart.v1.36" hidden="1">Data!$R$1</definedName>
    <definedName name="_xlchart.v1.37" hidden="1">Data!$R$2:$R$91</definedName>
    <definedName name="_xlchart.v1.4" hidden="1">Data!$K$2:$K$91</definedName>
    <definedName name="_xlchart.v1.5" hidden="1">Data!$L$1</definedName>
    <definedName name="_xlchart.v1.6" hidden="1">Data!$L$2:$L$91</definedName>
    <definedName name="_xlchart.v1.7" hidden="1">Data!$M$1</definedName>
    <definedName name="_xlchart.v1.8" hidden="1">Data!$M$2:$M$91</definedName>
    <definedName name="_xlchart.v1.9" hidden="1">Data!$N$1</definedName>
  </definedNames>
  <calcPr calcId="171027"/>
  <pivotCaches>
    <pivotCache cacheId="0" r:id="rId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88" i="1" l="1"/>
  <c r="L88" i="1"/>
  <c r="K88" i="1"/>
  <c r="J88" i="1"/>
  <c r="I88" i="1"/>
  <c r="G88" i="1"/>
  <c r="E88" i="1"/>
  <c r="I90" i="1" l="1"/>
  <c r="E90" i="1"/>
  <c r="G90" i="1"/>
  <c r="I87" i="1"/>
  <c r="G87" i="1"/>
  <c r="E87" i="1"/>
  <c r="G2" i="1"/>
  <c r="P86" i="1"/>
  <c r="M86" i="1"/>
  <c r="L86" i="1"/>
  <c r="K86" i="1"/>
  <c r="J86" i="1"/>
  <c r="I86" i="1"/>
  <c r="G86" i="1"/>
  <c r="P85" i="1"/>
  <c r="M85" i="1"/>
  <c r="L85" i="1"/>
  <c r="K85" i="1"/>
  <c r="J85" i="1"/>
  <c r="I85" i="1"/>
  <c r="G85" i="1"/>
  <c r="P83" i="1"/>
  <c r="M83" i="1"/>
  <c r="L83" i="1"/>
  <c r="K83" i="1"/>
  <c r="J83" i="1"/>
  <c r="I83" i="1"/>
  <c r="G83" i="1"/>
  <c r="P84" i="1"/>
  <c r="M84" i="1"/>
  <c r="L84" i="1"/>
  <c r="K84" i="1"/>
  <c r="J84" i="1"/>
  <c r="J80" i="1"/>
  <c r="G84" i="1"/>
  <c r="I84" i="1"/>
  <c r="K81" i="1" l="1"/>
  <c r="M81" i="1"/>
  <c r="L80" i="1"/>
  <c r="K2" i="1"/>
  <c r="G81" i="1"/>
  <c r="G80" i="1"/>
  <c r="E85" i="1"/>
  <c r="E84" i="1"/>
  <c r="E86" i="1"/>
  <c r="E83" i="1"/>
  <c r="E81" i="1"/>
  <c r="E80" i="1"/>
  <c r="G26" i="1"/>
  <c r="G12" i="1"/>
  <c r="G7" i="1"/>
  <c r="J81" i="1"/>
  <c r="M80" i="1"/>
  <c r="K80" i="1"/>
  <c r="P32" i="1"/>
  <c r="P2" i="1"/>
  <c r="I2" i="1"/>
  <c r="E79" i="1" l="1"/>
  <c r="P3" i="1"/>
  <c r="P8" i="1"/>
  <c r="I8" i="1"/>
  <c r="G8" i="1"/>
  <c r="E8" i="1"/>
  <c r="P7" i="1"/>
  <c r="I7" i="1"/>
  <c r="E7" i="1"/>
  <c r="P6" i="1"/>
  <c r="I6" i="1"/>
  <c r="G6" i="1"/>
  <c r="E6" i="1"/>
  <c r="P5" i="1"/>
  <c r="I5" i="1"/>
  <c r="G5" i="1"/>
  <c r="E5" i="1"/>
  <c r="P4" i="1"/>
  <c r="I4" i="1"/>
  <c r="G4" i="1"/>
  <c r="E4" i="1"/>
  <c r="E63" i="1" l="1"/>
  <c r="E62" i="1"/>
  <c r="E55" i="1"/>
  <c r="I63" i="1"/>
  <c r="I62" i="1"/>
  <c r="I60" i="1"/>
  <c r="I59" i="1"/>
  <c r="I58" i="1"/>
  <c r="I57" i="1"/>
  <c r="I56" i="1"/>
  <c r="I55" i="1"/>
  <c r="I54" i="1"/>
  <c r="P54" i="1"/>
  <c r="P63" i="1"/>
  <c r="P62" i="1"/>
  <c r="G63" i="1"/>
  <c r="G62" i="1"/>
  <c r="G60" i="1"/>
  <c r="G59" i="1"/>
  <c r="G54" i="1"/>
  <c r="G55" i="1"/>
  <c r="G56" i="1"/>
  <c r="G57" i="1"/>
  <c r="G58" i="1"/>
  <c r="G53" i="1"/>
  <c r="G52" i="1"/>
  <c r="P61" i="1" l="1"/>
  <c r="I61" i="1"/>
  <c r="G61" i="1"/>
  <c r="E61" i="1"/>
  <c r="P60" i="1"/>
  <c r="E60" i="1"/>
  <c r="P59" i="1"/>
  <c r="E59" i="1"/>
  <c r="P58" i="1"/>
  <c r="E58" i="1"/>
  <c r="E57" i="1"/>
  <c r="E56" i="1"/>
  <c r="P55" i="1"/>
  <c r="E54" i="1"/>
  <c r="Q53" i="1"/>
  <c r="P53" i="1"/>
  <c r="I53" i="1"/>
  <c r="E53" i="1"/>
  <c r="P66" i="1"/>
  <c r="I66" i="1"/>
  <c r="G66" i="1"/>
  <c r="E66" i="1"/>
  <c r="P65" i="1"/>
  <c r="I65" i="1"/>
  <c r="G65" i="1"/>
  <c r="E65" i="1"/>
  <c r="P64" i="1"/>
  <c r="I64" i="1"/>
  <c r="G64" i="1"/>
  <c r="E64" i="1"/>
  <c r="P52" i="1" l="1"/>
  <c r="I52" i="1"/>
  <c r="E52" i="1"/>
  <c r="P51" i="1"/>
  <c r="I51" i="1"/>
  <c r="G51" i="1"/>
  <c r="E51" i="1"/>
  <c r="P50" i="1"/>
  <c r="I50" i="1"/>
  <c r="G50" i="1"/>
  <c r="E50" i="1"/>
  <c r="P49" i="1"/>
  <c r="I49" i="1"/>
  <c r="G49" i="1"/>
  <c r="E49" i="1"/>
  <c r="P48" i="1"/>
  <c r="I48" i="1"/>
  <c r="G48" i="1"/>
  <c r="E48" i="1"/>
  <c r="P47" i="1"/>
  <c r="I47" i="1"/>
  <c r="G47" i="1"/>
  <c r="E47" i="1"/>
  <c r="P46" i="1"/>
  <c r="I46" i="1"/>
  <c r="G46" i="1"/>
  <c r="E46" i="1"/>
  <c r="P45" i="1"/>
  <c r="I45" i="1"/>
  <c r="G45" i="1"/>
  <c r="E45" i="1"/>
  <c r="P44" i="1"/>
  <c r="I44" i="1"/>
  <c r="G44" i="1"/>
  <c r="E44" i="1"/>
  <c r="P43" i="1"/>
  <c r="I43" i="1"/>
  <c r="G43" i="1"/>
  <c r="E43" i="1"/>
  <c r="P42" i="1"/>
  <c r="I42" i="1"/>
  <c r="G42" i="1"/>
  <c r="E42" i="1"/>
  <c r="P41" i="1"/>
  <c r="I41" i="1"/>
  <c r="G41" i="1"/>
  <c r="E41" i="1"/>
  <c r="P40" i="1"/>
  <c r="I40" i="1"/>
  <c r="G40" i="1"/>
  <c r="E40" i="1"/>
  <c r="P39" i="1"/>
  <c r="I39" i="1"/>
  <c r="G39" i="1"/>
  <c r="E39" i="1"/>
  <c r="P38" i="1"/>
  <c r="I38" i="1"/>
  <c r="G38" i="1"/>
  <c r="E38" i="1"/>
  <c r="P37" i="1"/>
  <c r="I37" i="1"/>
  <c r="G37" i="1"/>
  <c r="E37" i="1"/>
  <c r="P36" i="1"/>
  <c r="P35" i="1"/>
  <c r="P34" i="1"/>
  <c r="P33" i="1"/>
  <c r="I33" i="1"/>
  <c r="G33" i="1"/>
  <c r="E33" i="1"/>
  <c r="P31" i="1"/>
  <c r="I31" i="1"/>
  <c r="G31" i="1"/>
  <c r="E31" i="1"/>
  <c r="P30" i="1"/>
  <c r="P29" i="1"/>
  <c r="I29" i="1"/>
  <c r="G29" i="1"/>
  <c r="E29" i="1"/>
  <c r="P28" i="1"/>
  <c r="P27" i="1"/>
  <c r="I27" i="1"/>
  <c r="G27" i="1"/>
  <c r="E27" i="1"/>
  <c r="P26" i="1"/>
  <c r="I26" i="1"/>
  <c r="E26" i="1"/>
  <c r="P25" i="1"/>
  <c r="I25" i="1"/>
  <c r="G25" i="1"/>
  <c r="E25" i="1"/>
  <c r="P24" i="1"/>
  <c r="I24" i="1"/>
  <c r="G24" i="1"/>
  <c r="E24" i="1"/>
  <c r="P23" i="1"/>
  <c r="I23" i="1"/>
  <c r="G23" i="1"/>
  <c r="E23" i="1"/>
  <c r="P22" i="1"/>
  <c r="I22" i="1"/>
  <c r="G22" i="1"/>
  <c r="E22" i="1"/>
  <c r="P21" i="1"/>
  <c r="P20" i="1"/>
  <c r="I20" i="1"/>
  <c r="G20" i="1"/>
  <c r="E20" i="1"/>
  <c r="P19" i="1"/>
  <c r="I19" i="1"/>
  <c r="G19" i="1"/>
  <c r="E19" i="1"/>
  <c r="P18" i="1"/>
  <c r="I18" i="1"/>
  <c r="G18" i="1"/>
  <c r="E18" i="1"/>
  <c r="P17" i="1"/>
  <c r="P16" i="1"/>
  <c r="I16" i="1"/>
  <c r="G16" i="1"/>
  <c r="E16" i="1"/>
  <c r="P15" i="1"/>
  <c r="I15" i="1"/>
  <c r="G15" i="1"/>
  <c r="E15" i="1"/>
  <c r="P14" i="1"/>
  <c r="I14" i="1"/>
  <c r="G14" i="1"/>
  <c r="E14" i="1"/>
  <c r="P13" i="1"/>
  <c r="P12" i="1"/>
  <c r="I12" i="1"/>
  <c r="E12" i="1"/>
  <c r="P11" i="1"/>
  <c r="I11" i="1"/>
  <c r="G11" i="1"/>
  <c r="E11" i="1"/>
  <c r="P10" i="1"/>
  <c r="I10" i="1"/>
  <c r="G10" i="1"/>
  <c r="E10" i="1"/>
  <c r="P9" i="1"/>
  <c r="I9" i="1"/>
  <c r="G9" i="1"/>
  <c r="E9" i="1"/>
  <c r="I80" i="1" l="1"/>
  <c r="I81" i="1"/>
  <c r="P80" i="1"/>
  <c r="P81" i="1"/>
  <c r="I3" i="1"/>
  <c r="G3" i="1"/>
  <c r="E3" i="1"/>
  <c r="M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Chandrasen Wadikar</author>
    <author/>
    <author>Harshali.Sonawane</author>
  </authors>
  <commentList>
    <comment ref="M3" authorId="0" shapeId="0" xr:uid="{83C52DDC-AF37-4DD4-A424-14F084F66FBA}">
      <text>
        <r>
          <rPr>
            <b/>
            <sz val="9"/>
            <color indexed="81"/>
            <rFont val="Tahoma"/>
            <family val="2"/>
          </rPr>
          <t>Chandrasen Wadikar:</t>
        </r>
        <r>
          <rPr>
            <sz val="9"/>
            <color indexed="81"/>
            <rFont val="Tahoma"/>
            <family val="2"/>
          </rPr>
          <t xml:space="preserve">
This is tentative efforts which we have spent on execution.
</t>
        </r>
      </text>
    </comment>
    <comment ref="L12" authorId="1" shapeId="0" xr:uid="{0C19FF80-7EA3-4748-A3E0-B346E0AC8712}">
      <text>
        <r>
          <rPr>
            <sz val="10"/>
            <rFont val="SimSun"/>
          </rPr>
          <t>Harshali.Sonawane:
1 NA</t>
        </r>
      </text>
    </comment>
    <comment ref="L14" authorId="2" shapeId="0" xr:uid="{D63DAC00-E43B-4885-9BD7-534502B8E0EF}">
      <text>
        <r>
          <rPr>
            <b/>
            <sz val="9"/>
            <rFont val="Times New Roman"/>
            <family val="1"/>
          </rPr>
          <t>Harshali.Sonawane:</t>
        </r>
        <r>
          <rPr>
            <sz val="9"/>
            <rFont val="Times New Roman"/>
            <family val="1"/>
          </rPr>
          <t xml:space="preserve">
3 TC Deffered</t>
        </r>
      </text>
    </comment>
    <comment ref="L15" authorId="1" shapeId="0" xr:uid="{061597BA-1613-40AD-B52B-2DA012C6697D}">
      <text>
        <r>
          <rPr>
            <sz val="10"/>
            <rFont val="SimSun"/>
          </rPr>
          <t>Harshali.Sonawane:
43 Not Delivered
30 NA</t>
        </r>
      </text>
    </comment>
    <comment ref="L16" authorId="1" shapeId="0" xr:uid="{0582AF38-CEF8-4608-A08D-BB782A3FCE3F}">
      <text>
        <r>
          <rPr>
            <sz val="10"/>
            <rFont val="SimSun"/>
          </rPr>
          <t>Harshali.Sonawane:
5 Deferred</t>
        </r>
      </text>
    </comment>
    <comment ref="L19" authorId="1" shapeId="0" xr:uid="{B97A844A-ECEB-4046-B2AC-E2DA2F16380E}">
      <text>
        <r>
          <rPr>
            <sz val="10"/>
            <rFont val="SimSun"/>
          </rPr>
          <t>Harshali.Sonawane:
1 Open Point</t>
        </r>
      </text>
    </comment>
    <comment ref="L32" authorId="1" shapeId="0" xr:uid="{6AC887BA-311C-45A2-A7C2-BD586C54F3BF}">
      <text>
        <r>
          <rPr>
            <sz val="10"/>
            <rFont val="SimSun"/>
          </rPr>
          <t>Harshali.Sonawane:
1 NA</t>
        </r>
      </text>
    </comment>
    <comment ref="L37" authorId="1" shapeId="0" xr:uid="{32E1CBE7-4288-4C69-874E-5C2485C7F1E3}">
      <text>
        <r>
          <rPr>
            <sz val="10"/>
            <rFont val="SimSun"/>
          </rPr>
          <t xml:space="preserve">Harshali.Sonawane:
7 NA
</t>
        </r>
      </text>
    </comment>
  </commentList>
</comments>
</file>

<file path=xl/sharedStrings.xml><?xml version="1.0" encoding="utf-8"?>
<sst xmlns="http://schemas.openxmlformats.org/spreadsheetml/2006/main" count="5591" uniqueCount="2028">
  <si>
    <t>Project Name</t>
  </si>
  <si>
    <t>No of Requirements tested</t>
  </si>
  <si>
    <t>Requirements coverage %</t>
  </si>
  <si>
    <t>Defect Re-open%</t>
  </si>
  <si>
    <t>% Functional defect (wrt total defects)</t>
  </si>
  <si>
    <t>Total Defects Open</t>
  </si>
  <si>
    <t>Total Functional defect (wrt total defects)</t>
  </si>
  <si>
    <t>No. of defects reported in UAT</t>
  </si>
  <si>
    <t>No. of Defects Reported by PA</t>
  </si>
  <si>
    <t>% UAT Defect Leakage</t>
  </si>
  <si>
    <t>Total No. Of project requirements</t>
  </si>
  <si>
    <t>Total Test cases Executed</t>
  </si>
  <si>
    <t>Time taken to Create Test cases (in hrs)</t>
  </si>
  <si>
    <t>Bala</t>
  </si>
  <si>
    <t>Total Test case  Created</t>
  </si>
  <si>
    <t>Time taken to Execute Test cases (in hrs)</t>
  </si>
  <si>
    <t>DHFL LMS</t>
  </si>
  <si>
    <t>Chandrasen/Rajit</t>
  </si>
  <si>
    <t>Regression testing %</t>
  </si>
  <si>
    <t>NA</t>
  </si>
  <si>
    <t>FSD Section ID#</t>
  </si>
  <si>
    <t>FSD Section</t>
  </si>
  <si>
    <t xml:space="preserve">Functional Requirement  / Use Case </t>
  </si>
  <si>
    <t>Test Case ID#</t>
  </si>
  <si>
    <t>PA Remarks</t>
  </si>
  <si>
    <t>Execution Status</t>
  </si>
  <si>
    <t>Defect ID</t>
  </si>
  <si>
    <t>Tentative PA Release Date</t>
  </si>
  <si>
    <t>Tentative UAT Release Date</t>
  </si>
  <si>
    <t>Remarks</t>
  </si>
  <si>
    <t>Reports</t>
  </si>
  <si>
    <t>DHFL Full Prepayment Letter</t>
  </si>
  <si>
    <t>TC_DHFL_FCL_32</t>
  </si>
  <si>
    <t>Pending with DHFL</t>
  </si>
  <si>
    <t>AHFL Full Prepayment Letter</t>
  </si>
  <si>
    <t>TC_DHFL_FCL_33</t>
  </si>
  <si>
    <t>Gross Funding Report</t>
  </si>
  <si>
    <t>TC_DHFL_GFR_01</t>
  </si>
  <si>
    <t>Not Released to PA</t>
  </si>
  <si>
    <t>Pending</t>
  </si>
  <si>
    <t>TC_DHFL_GFR_02</t>
  </si>
  <si>
    <t>TC_DHFL_GFR_03</t>
  </si>
  <si>
    <t>TC_DHFL_GFR_04</t>
  </si>
  <si>
    <t>Report is required for listing of all PDC's based on presentation date range</t>
  </si>
  <si>
    <t>TC_DHFL_RPT_PDCPR_01</t>
  </si>
  <si>
    <t>TC_DHFL_RPT_PDCPR_02</t>
  </si>
  <si>
    <t>TC_DHFL_RPT_PDCPR_03</t>
  </si>
  <si>
    <t>TC_DHFL_RPT_PDCPR_04</t>
  </si>
  <si>
    <t>TC_DHFL_RPT_PDCPR_05</t>
  </si>
  <si>
    <t>TC_DHFL_RPT_PDCPR_06</t>
  </si>
  <si>
    <t>SOA</t>
  </si>
  <si>
    <t>TC_DHFL_RPT_SOAR_01</t>
  </si>
  <si>
    <t>TC_DHFL_RPT_SOAR_02</t>
  </si>
  <si>
    <t>TC_DHFL_RPT_SOAR_03</t>
  </si>
  <si>
    <t>TC_DHFL_RPT_SOAR_04</t>
  </si>
  <si>
    <t>TC_DHFL_RPT_SOAR_05</t>
  </si>
  <si>
    <t>TC_DHFL_RPT_SOAR_06</t>
  </si>
  <si>
    <t>TC_DHFL_RPT_SOAR_07</t>
  </si>
  <si>
    <t>TC_DHFL_RPT_SOAR_08</t>
  </si>
  <si>
    <t>TC_DHFL_RPT_SOAR_09</t>
  </si>
  <si>
    <t>Tenor Change Cases Report: report is required to list down the loan accounts where tenor is increased/decreased based on increase/decrease in RPLR</t>
  </si>
  <si>
    <t>TC_DHFL_RPT_TCCR_01</t>
  </si>
  <si>
    <t>TC_DHFL_RPT_TCCR_02</t>
  </si>
  <si>
    <t>TC_DHFL_RPT_TCCR_03</t>
  </si>
  <si>
    <t>TC_DHFL_RPT_TCCR_04</t>
  </si>
  <si>
    <t>TC_DHFL_RPT_TCCR_05</t>
  </si>
  <si>
    <t>TC_DHFL_RPT_TCCR_06</t>
  </si>
  <si>
    <t>TC_DHFL_RPT_TCCR_07</t>
  </si>
  <si>
    <t>Negative Amort Cases Report: report is required to list down the loan accounts which will be going into negative amortization based on increase in RPLR. Here the future RPLR will be user input, and output will be the loan accounts list</t>
  </si>
  <si>
    <t>TC_DHFL_RPT_NACR_01</t>
  </si>
  <si>
    <t>TC_DHFL_RPT_NACR_02</t>
  </si>
  <si>
    <t>TC_DHFL_RPT_NACR_03</t>
  </si>
  <si>
    <t>TC_DHFL_RPT_NACR_04</t>
  </si>
  <si>
    <t>LMS - Batch - Amort Generation</t>
  </si>
  <si>
    <t>Regeneration of Amort - Part Prepayment</t>
  </si>
  <si>
    <t>TC_DHFL_PP03</t>
  </si>
  <si>
    <t>Pass</t>
  </si>
  <si>
    <t>Regeneration of Amort - Reschedule</t>
  </si>
  <si>
    <t>TC_DHFL_RS_01</t>
  </si>
  <si>
    <t>Regeneration of Amort - Restructure</t>
  </si>
  <si>
    <t>TC_DHFL_RR01</t>
  </si>
  <si>
    <t xml:space="preserve">185811, 185902 </t>
  </si>
  <si>
    <t>TC_DHFL_RR02</t>
  </si>
  <si>
    <t>TC_DHFL_RR03</t>
  </si>
  <si>
    <t>TC_DHFL_RR04</t>
  </si>
  <si>
    <t>TC_DHFL_RR05</t>
  </si>
  <si>
    <t>Regeneration of Amort - Staff Loans</t>
  </si>
  <si>
    <t>TC_DHFL_SL_05</t>
  </si>
  <si>
    <t>Fail</t>
  </si>
  <si>
    <r>
      <t>189690
189545</t>
    </r>
    <r>
      <rPr>
        <strike/>
        <sz val="12"/>
        <color rgb="FF000000"/>
        <rFont val="Calibri"/>
        <family val="2"/>
        <scheme val="minor"/>
      </rPr>
      <t xml:space="preserve">
'189541</t>
    </r>
  </si>
  <si>
    <t>Released to PA</t>
  </si>
  <si>
    <t>TC_DHFL_SL_09</t>
  </si>
  <si>
    <t>Reopened</t>
  </si>
  <si>
    <t>Regeneration of Amort - Index Rate Change</t>
  </si>
  <si>
    <t>TC_DHFL_IRC08</t>
  </si>
  <si>
    <t>LMS - Batch - Due Generation</t>
  </si>
  <si>
    <t>Due Generation will be done on 1st of the month for the current month for all accounts irrespective of the cycle date</t>
  </si>
  <si>
    <t>TC_DHFL_DP_03</t>
  </si>
  <si>
    <t>TC_DHFL_DP_16</t>
  </si>
  <si>
    <t>TC_DHFL_DP_20</t>
  </si>
  <si>
    <t>Due Generation Accounting Entries to be passed on month end for all accounts</t>
  </si>
  <si>
    <t>Due generated will include principal and/ or interest for the installment</t>
  </si>
  <si>
    <t>Charges become due as and when they are booked. Charges should be overdue from the day one of booking.</t>
  </si>
  <si>
    <t>New</t>
  </si>
  <si>
    <t>9.3.1</t>
  </si>
  <si>
    <t>RHF Tagging</t>
  </si>
  <si>
    <t>• User will download the data to be shared with NHB. System will list the records based on the applicability rules and validations mentioned in the section below. The template of download is provided in the section below.
• Generated data will be shared with auditors system through interface.</t>
  </si>
  <si>
    <t>TC_SchemeTagging_01</t>
  </si>
  <si>
    <t xml:space="preserve">
TC_SchemeTagging_02</t>
  </si>
  <si>
    <t>TC_SchemeTagging_07</t>
  </si>
  <si>
    <t xml:space="preserve">
TC_SchemeTagging_09</t>
  </si>
  <si>
    <t>• Auditors response on the records (OK / not OK) will be updated in the system through interface.</t>
  </si>
  <si>
    <t>TC_File Configurator_03</t>
  </si>
  <si>
    <t>TC_File Configurator_06</t>
  </si>
  <si>
    <t>TC_File Configurator_08</t>
  </si>
  <si>
    <t xml:space="preserve">• 'OK' marked cases then will be downloaded and shared (outside the system process) with NHB. </t>
  </si>
  <si>
    <t>TC_File Configurator_01</t>
  </si>
  <si>
    <t>TC_File Configurator_02</t>
  </si>
  <si>
    <t>TC_File Configurator_05</t>
  </si>
  <si>
    <t>• The response file from the NHB will be uploaded into the system. The template of upload is provided in the section below. 
• User will perform the bulk rescheduling to update the ROI.</t>
  </si>
  <si>
    <t>TC_File Configurator_18</t>
  </si>
  <si>
    <t>TC_File Configurator_19</t>
  </si>
  <si>
    <t>TC_File Configurator_20</t>
  </si>
  <si>
    <t>TC_File Configurator_04</t>
  </si>
  <si>
    <t>• Utilization certificate will be prepared outside the system. 
• User will upload the scanned image of utilization certificate into the system.
• Also, the date of submission needs to be captured.
• Utilization certificate will be uploaded against the particular download of file. For one download file, only one utilization certificate will be uploaded.</t>
  </si>
  <si>
    <t>TC_DHFL_NHB_01</t>
  </si>
  <si>
    <t>Deferred</t>
  </si>
  <si>
    <t>TC_DHFL_NHB_02</t>
  </si>
  <si>
    <t>TC_DHFL_NHB_03</t>
  </si>
  <si>
    <t>• Earlier rejected case should not be spooled.
• System should check that claimed subsidy amount should not be greater than the 6 lakhs or loan amount (whichever is lower) at any tranche.</t>
  </si>
  <si>
    <t>TC_SchemeTagging_59</t>
  </si>
  <si>
    <t>TC_File Configurator_07</t>
  </si>
  <si>
    <t>Claim Amount Calculation Methodology
This is not applicable and will be done outside the system</t>
  </si>
  <si>
    <r>
      <t xml:space="preserve">• Once the NHB approval is received and uploaded into the system, change in ROI will happen through bulk rescheduling in the system.
• </t>
    </r>
    <r>
      <rPr>
        <sz val="10"/>
        <color rgb="FFFF0000"/>
        <rFont val="Arial"/>
        <family val="2"/>
      </rPr>
      <t>ROI should be changed to – ‘NHB rate of refinance’ + 2% (NHB rate of refinance &amp; margin % will be uploaded into the system as part of upload file as mentioned above). 
• In case the existing ROI is less than that of (‘NHB rate of refinance’ + 2%.), then ROI change shouldn’t happen.</t>
    </r>
    <r>
      <rPr>
        <sz val="10"/>
        <color rgb="FF000000"/>
        <rFont val="Arial"/>
        <family val="2"/>
      </rPr>
      <t xml:space="preserve">
• In case of rejection, ROI change won’t happen.
• Impact of change in ROI will happen from 1st of next month.
• Impact of change in ROI will be given to the ‘Installment amount’.
• Change of ROI impact can be back dated also. The date from which impact is to be given should be part of upload file as mentioned above. Impact will always be given from 1st of the corresponding month. System should calculate the amount of benefit which should be given to the customer for back dated ROI impact. This amount should be treated as part-prepayment.</t>
    </r>
  </si>
  <si>
    <t>TC_DHFL_NHB_04</t>
  </si>
  <si>
    <t>TC_DHFL_NHB_05</t>
  </si>
  <si>
    <t>Dependant on issue</t>
  </si>
  <si>
    <t>TC_DHFL_NHB_06</t>
  </si>
  <si>
    <t>Impact on LMS Transactions –  – 
• Part Prepayment: No impact.
• Full Closure: No impact.
• Settlements: settlement is allowed. The settlement amount should incorporate the subsidy amount provided NHB, and it should mandatorily be covered. Following fields are required at the time of settlement process - flag required to mark Approval from NHB is received, &amp; upload option is required to upload the approval doc/mail received from the NHB. NHB approval flag should be mandatorily checked to process settlement. 
• Restructuring: It is allowed. The restructuring amount should incorporate the subsidy amount provided NHB, and it should mandatorily be covered. Following fields are required at the time of restructuring process - flag required to mark Approval from NHB is received, &amp; upload option is required to upload the approval doc/mail received from the NHB. NHB approval flag should be mandatorily checked to process
• Rescheduling: No impact.</t>
  </si>
  <si>
    <t>TC_DHFL_NHB_07</t>
  </si>
  <si>
    <t>TC_DHFL_NHB_08</t>
  </si>
  <si>
    <t>9.3.2</t>
  </si>
  <si>
    <t>CLSS</t>
  </si>
  <si>
    <t>TC_SchemeTagging_02</t>
  </si>
  <si>
    <t>TC_SchemeTagging_09</t>
  </si>
  <si>
    <t>• The response file from the NHB will be uploaded into the system. The template of upload is provided in the section below. 
• User will perform the bulk part prepayment of approved cases</t>
  </si>
  <si>
    <t>TC_DHFL_NHB_09</t>
  </si>
  <si>
    <t>TC_DHFL_NHB_10</t>
  </si>
  <si>
    <t>TC_DHFL_NHB_11</t>
  </si>
  <si>
    <t>• Earlier rejected case should not be spooled.
• Max 4 tranches are allowed (this number should be configurable at master level for scheme). System should ensure that the cumulative subsidy amount should be equal to 6 lakhs or loan amount (whichever is lesser) at the time of final tranche.
• System should check that claimed subsidy amount should not be greater than the 6 lakhs (this amount should be configurable at master level) or loan amount (whichever is lower) at any tranche.</t>
  </si>
  <si>
    <t>• Claim Amount Calculation Methodology
NPV is to be calculated based on the NHB Subsidy ROI (as configured at master level), applicable disbursement amount, &amp; applicable subsidy. This will be the claim amount for that particular records.</t>
  </si>
  <si>
    <t>TC_DHFL_NHB_12</t>
  </si>
  <si>
    <t>User will perform the bulk part prepayment for the approved cases. Allocation of claim amount (including the processing fee refund of Rs. 1000) will be treated as part pre-payment on the loan account.  Impact of part pre-payment should be change in EMI only. The refund of differential processing fee (earlier collected from customer) if required can be done through Fee waiver / Bulk charge waiver. Impact of part pre-payment will be given to the installment amount.</t>
  </si>
  <si>
    <t>• Part Prepayment: No impact.
• Full Closure: No impact.
• Settlements: settlement is allowed. The settlement amount should incorporate the subsidy amount provided NHB, and it should mandatorily be covered: 
In the event of default in repayment of the loan by the borrower/beneficiary to the Second Party and the loan becoming Non-performing assets (NPA), the lender/second party will proceed for recovery of the dues through such measures as considered appropriate, including foreclosure of the property. In all such cases, the amount of the recoveries will be charged to the subsidy amount on a proportionate basis (in proportion to the loan outstanding and subsidy disbursed).
• Restructuring: It is allowed. The restructuring amount should incorporate the subsidy amount provided NHB, and it should mandatorily be covered. Following fields are required at the time of restructuring process - flag required to mark Approval from NHB is received, &amp; upload option is required to upload the approval doc/mail received from the NHB. NHB approval flag should be mandatorily checked to process
• Rescheduling: No impact.</t>
  </si>
  <si>
    <t>TC_Functional_01</t>
  </si>
  <si>
    <t>TC_Functional_19</t>
  </si>
  <si>
    <t>TC_Functional_09</t>
  </si>
  <si>
    <t>TC_Functional_10</t>
  </si>
  <si>
    <t>TC_Functional_18</t>
  </si>
  <si>
    <t>9.3.3</t>
  </si>
  <si>
    <t>EEH</t>
  </si>
  <si>
    <t>TC_DHFL_NHB_13</t>
  </si>
  <si>
    <t>TC_DHFL_NHB_14</t>
  </si>
  <si>
    <t>TC_DHFL_NHB_15</t>
  </si>
  <si>
    <t>• Claim Amount Calculation Methodology
This is not applicable and will be done outside the system if required.</t>
  </si>
  <si>
    <t>TC_DHFL_NHB_16</t>
  </si>
  <si>
    <t>Covered</t>
  </si>
  <si>
    <t>TC_DHFL_NHB_17</t>
  </si>
  <si>
    <t>TC_DHFL_NHB_18</t>
  </si>
  <si>
    <t>9.3.4</t>
  </si>
  <si>
    <t>Solar Subsidy</t>
  </si>
  <si>
    <t xml:space="preserve">• The response file from the NHB will be uploaded into the system. The template of upload is provided in the section below. </t>
  </si>
  <si>
    <t>TC_DHFL_NHB_19</t>
  </si>
  <si>
    <t>TC_DHFL_NHB_20</t>
  </si>
  <si>
    <t>Claim Amount Calculation Methodology
 In case of DHFL, allocation of claim amount (40% of loan amount with max. upto 50000). once approved it will be treated as part pre-payment on the loan account.  Impact of part pre-payment should be change in EMI only.</t>
  </si>
  <si>
    <t>TC_DHFL_NHB_21</t>
  </si>
  <si>
    <t>Rounding Logic</t>
  </si>
  <si>
    <t>Rounding up to nearest digit; two decimal points to be displayed. This applies for all financial calculations in LMS</t>
  </si>
  <si>
    <t>TC_AM_01</t>
  </si>
  <si>
    <t>TC_AM_14</t>
  </si>
  <si>
    <t>TC_AM_27</t>
  </si>
  <si>
    <t>TC_AM_40</t>
  </si>
  <si>
    <t>Excess Adjustment</t>
  </si>
  <si>
    <t>If there is an Excess amount available in   any loan account, then –
o It should be adjusted automatically against the dues.
o User can also process refund to the customer against the amount in excess.</t>
  </si>
  <si>
    <t>TC_DHFL_REFUND_10</t>
  </si>
  <si>
    <t>Penal Charges</t>
  </si>
  <si>
    <t> Penal charges are charged on overdue installments. Penal charges Interest rate can be defined at the product level and is then stamped on the loan account level
 In case of DHFL there are no grace days and hence grace days will not impact the calculation. However, customer gets relaxation period till month end for current month dues, and if not paid then from 11th, as cycle date is 10th,  till last date of the month, penal will be calculated and booked on EOD of last date of the month. Next month's onwards penal will be accrued on daily basis</t>
  </si>
  <si>
    <t>TC_DHFL_DP_06</t>
  </si>
  <si>
    <t>TC_DHFL_DP_07</t>
  </si>
  <si>
    <t>TC_DHFL_DP_08</t>
  </si>
  <si>
    <t>TC_DHFL_DP_27</t>
  </si>
  <si>
    <t>TC_DHFL_DP_31</t>
  </si>
  <si>
    <t>DPD</t>
  </si>
  <si>
    <t> DPD calculation on all loan accounts will be done from next date of the cycle date. E.g. Due date – 1st Jan, Cycle date – 10th Jan, DPD calculation starts from 11th Jan BOD. At this point, the DPD will be 1 on 11th Jan BOD</t>
  </si>
  <si>
    <t>TC_DHFL_DPD_02</t>
  </si>
  <si>
    <t>TC_DHFL_DPD_03</t>
  </si>
  <si>
    <t>TC_DHFL_DPD_07</t>
  </si>
  <si>
    <t>Bucket calculation required collections is already available in collection system based on DPD.</t>
  </si>
  <si>
    <t>NPA Marking</t>
  </si>
  <si>
    <t> An account is classified as NPA based on the configuration done in NPA and Provisioning Setup
 NPA Classification Date: Date when standard account becomes NPA
 NPA Marking Date: The NPA marking date is oldest due date of the loan account.
 If any account is marked as NPA first time then NPA marking date is stamped to loan account. The NPA marking date is oldest due date of the loan account. The asset classification and provisioning is calculated as per DPD. Once the loan account become as Non NPA then the NPA marking date is reset as blank. During the period the account is in NPA status, the asset classification and provisioning is calculated considering NPA marking date.</t>
  </si>
  <si>
    <t> NPA classification date and NPA marking date will be reset after only when DPD becomes zero 
 In case the cheque is bounced, then along with reversal entries, the NPA classification date and NPA marking date should be set to the previous value. For example,
First NPA Classification date: 31st July 16
Dues: 8 installments
Payment done: 31st Mar 17, before paying asset class is sub-standard, after paying it becomes standard. system resets the NPA classification date.
on 1st April 17, cheques are bounced, then system should consider NPA classification date as 31st July 16, and not 1st April 17.
 NPA classification on restructured Loans should be per actual seasoning, till the account is marked regular i.e. as per NHB guidelines, if customer makes regular payments for at least one year (configurable period) from the date of restructuring.</t>
  </si>
  <si>
    <t>Provisioning</t>
  </si>
  <si>
    <t> System calculates Days Past Due of every loan account and based on Days Past Due value, the asset quality is determined
 System checks if there is any specific provisioning on that loan account and determines the loan quality based on specific provisioning. The worst of the above two loan quality is considered
 System then checks the loan quality for other loan accounts of that customer and determines the worst loan quality
 The worst loan quality at a customer level is considered and system provisioning is done based on that rate.</t>
  </si>
  <si>
    <t> Secured portion of the loan is determined based on the current value of the asset which is maintained in LMS
 Unsecured portion of the loan account is determined by (total principal outstanding (future principal + principal overdue – secured portion)
 System provisioning is run on monthly basis</t>
  </si>
  <si>
    <t> System will always reverse the accounting entries of the previous month in the beginning of the month and will pass new accounting entries at the end of the month.
 Once the provisioning is done at EOD, the same is reflected in the relevant fields in all screens on the next business date. The updated loan quality and provisioned amount is then displayed in the loan account overview screen
Note: Accounts of any other entity (DHFL, AHFL) will not be considered even if the customer ID is same</t>
  </si>
  <si>
    <t>9.10</t>
  </si>
  <si>
    <t>Maturity</t>
  </si>
  <si>
    <r>
      <t xml:space="preserve"> The loan account will be closed at EOD once the last installment has been marked as cleared
 Maturity Threshold is configured at the product level and written off at the time of maturity marking. Currently the value should be set to Zero
 Similarly, excess forfeit limit is also configured at product level and is booked as income and not marked for refund. Currently the value should be set to Zero
</t>
    </r>
    <r>
      <rPr>
        <sz val="10"/>
        <color rgb="FFFF0000"/>
        <rFont val="Arial"/>
        <family val="2"/>
      </rPr>
      <t> Validation is required at the time of maturity closure - system should not close the account if any TDS certificate is pending for the loan account.</t>
    </r>
  </si>
  <si>
    <t>Staff Loans</t>
  </si>
  <si>
    <r>
      <t></t>
    </r>
    <r>
      <rPr>
        <sz val="10"/>
        <color rgb="FF000000"/>
        <rFont val="Arial"/>
        <family val="2"/>
      </rPr>
      <t xml:space="preserve"> For fresh cases: All the fresh loans (originated through LOS) will be tagged as staff during origination process itself. User can view the staff flag is tagged in customer level service.
</t>
    </r>
    <r>
      <rPr>
        <sz val="10"/>
        <color rgb="FF000000"/>
        <rFont val="Symbol"/>
        <family val="1"/>
        <charset val="2"/>
      </rPr>
      <t></t>
    </r>
    <r>
      <rPr>
        <sz val="10"/>
        <color rgb="FF000000"/>
        <rFont val="Arial"/>
        <family val="2"/>
      </rPr>
      <t xml:space="preserve"> For existing cases: User will be able to mark the loan as staff loan in LMS / Loan will be marked as staff through CRM interface. 
</t>
    </r>
    <r>
      <rPr>
        <sz val="10"/>
        <color rgb="FF000000"/>
        <rFont val="Symbol"/>
        <family val="1"/>
        <charset val="2"/>
      </rPr>
      <t></t>
    </r>
    <r>
      <rPr>
        <sz val="10"/>
        <color rgb="FF000000"/>
        <rFont val="Arial"/>
        <family val="2"/>
      </rPr>
      <t xml:space="preserve"> Tagging for staff should be available with or without HR benefit considered for the loan. This information should be flown from LOS along with the employee code of the applicant. Tagging values received from the LOS should be as – Staff-HR, Staff-Commercial, Non-Staff-Commercial.</t>
    </r>
  </si>
  <si>
    <t>TC_DHFL_SL_03</t>
  </si>
  <si>
    <r>
      <t></t>
    </r>
    <r>
      <rPr>
        <sz val="10"/>
        <color rgb="FF000000"/>
        <rFont val="Arial"/>
        <family val="2"/>
      </rPr>
      <t xml:space="preserve"> De-tagging of staff accounts will happen through interface from HRMS where effective date will be sent for de-tagging. Report will be required in this case containing all accounts which will be detagged on effective date where repayment mode of the account is DAS only.
</t>
    </r>
    <r>
      <rPr>
        <sz val="10"/>
        <color rgb="FF000000"/>
        <rFont val="Symbol"/>
        <family val="1"/>
        <charset val="2"/>
      </rPr>
      <t></t>
    </r>
    <r>
      <rPr>
        <sz val="10"/>
        <color rgb="FF000000"/>
        <rFont val="Arial"/>
        <family val="2"/>
      </rPr>
      <t xml:space="preserve"> Fields which will be passed from HRMS to LMS will be - Employee code, Employee Name, Staff Tagging (Staff-HR, Staff-Commercial), Loan Code, Last day of Working. File will be shared from HRMS to LMS on last working day of the month and will contains records which are having last working day in that current month only. If the user wants to generated the report, the same can be generated.
</t>
    </r>
    <r>
      <rPr>
        <sz val="10"/>
        <color rgb="FF000000"/>
        <rFont val="Symbol"/>
        <family val="1"/>
        <charset val="2"/>
      </rPr>
      <t></t>
    </r>
    <r>
      <rPr>
        <sz val="10"/>
        <color rgb="FF000000"/>
        <rFont val="Arial"/>
        <family val="2"/>
      </rPr>
      <t xml:space="preserve"> If flag is Staff-HR, then following will happen: 
o Effective date for new ROI should always be the first day of next month. 
o New ROI: will be based on applicable ROI for the product.
o I</t>
    </r>
    <r>
      <rPr>
        <sz val="10"/>
        <color rgb="FFFF0000"/>
        <rFont val="Arial"/>
        <family val="2"/>
      </rPr>
      <t>mpact: Increase in tenure, if negative Amort, then adjust in last installment.</t>
    </r>
    <r>
      <rPr>
        <sz val="10"/>
        <color rgb="FF000000"/>
        <rFont val="Arial"/>
        <family val="2"/>
      </rPr>
      <t xml:space="preserve">
</t>
    </r>
    <r>
      <rPr>
        <sz val="10"/>
        <color rgb="FF000000"/>
        <rFont val="Symbol"/>
        <family val="1"/>
        <charset val="2"/>
      </rPr>
      <t></t>
    </r>
    <r>
      <rPr>
        <sz val="10"/>
        <color rgb="FF000000"/>
        <rFont val="Arial"/>
        <family val="2"/>
      </rPr>
      <t xml:space="preserve"> For Staff-Commercial - only tagging will be changed from staff-commercial to non-staff-commercial will be done.</t>
    </r>
  </si>
  <si>
    <t>TC_DHFL_SL_11</t>
  </si>
  <si>
    <t>TC_DHFL_SL_12</t>
  </si>
  <si>
    <r>
      <t></t>
    </r>
    <r>
      <rPr>
        <sz val="10"/>
        <color rgb="FF000000"/>
        <rFont val="Arial"/>
        <family val="2"/>
      </rPr>
      <t xml:space="preserve"> For staff account, repayment mode can be DAS (deduction against salary) mainly, as well as it can be any other repayment mode.
</t>
    </r>
    <r>
      <rPr>
        <sz val="10"/>
        <color rgb="FF000000"/>
        <rFont val="Symbol"/>
        <family val="1"/>
        <charset val="2"/>
      </rPr>
      <t></t>
    </r>
    <r>
      <rPr>
        <sz val="10"/>
        <color rgb="FF000000"/>
        <rFont val="Arial"/>
        <family val="2"/>
      </rPr>
      <t xml:space="preserve"> With respect to staff loan accounts, where repayment mode is DAS, data will be shared with HRMS through interface. 
</t>
    </r>
    <r>
      <rPr>
        <sz val="10"/>
        <color rgb="FF000000"/>
        <rFont val="Symbol"/>
        <family val="1"/>
        <charset val="2"/>
      </rPr>
      <t></t>
    </r>
    <r>
      <rPr>
        <sz val="10"/>
        <color rgb="FF000000"/>
        <rFont val="Arial"/>
        <family val="2"/>
      </rPr>
      <t xml:space="preserve"> PEMI / EMI dues needed to be added in the salary deduction file. In case of BPI (broken period interest), if it is not collected before DAS file generation then BPI amount should also be included in the salary deduction file.
</t>
    </r>
    <r>
      <rPr>
        <sz val="10"/>
        <color rgb="FF000000"/>
        <rFont val="Symbol"/>
        <family val="1"/>
        <charset val="2"/>
      </rPr>
      <t></t>
    </r>
    <r>
      <rPr>
        <sz val="10"/>
        <color rgb="FF000000"/>
        <rFont val="Arial"/>
        <family val="2"/>
      </rPr>
      <t xml:space="preserve"> Date at which the salary deduction file is to be generated with should be configurable.
</t>
    </r>
    <r>
      <rPr>
        <sz val="10"/>
        <color rgb="FF000000"/>
        <rFont val="Symbol"/>
        <family val="1"/>
        <charset val="2"/>
      </rPr>
      <t></t>
    </r>
    <r>
      <rPr>
        <sz val="10"/>
        <color rgb="FF000000"/>
        <rFont val="Arial"/>
        <family val="2"/>
      </rPr>
      <t xml:space="preserve"> HRMS will share the data with LMS pertaining to staff accounts along with the amount which is deducted against the salary which should be applied then.
</t>
    </r>
    <r>
      <rPr>
        <sz val="10"/>
        <color rgb="FF000000"/>
        <rFont val="Symbol"/>
        <family val="1"/>
        <charset val="2"/>
      </rPr>
      <t></t>
    </r>
    <r>
      <rPr>
        <sz val="10"/>
        <color rgb="FF000000"/>
        <rFont val="Arial"/>
        <family val="2"/>
      </rPr>
      <t xml:space="preserve"> Staff Overdue amount to be communicated to LCS same as for other loan accounts.</t>
    </r>
  </si>
  <si>
    <t>LMS.Core.DAS.028</t>
  </si>
  <si>
    <t>LMS.Core.DAS.030</t>
  </si>
  <si>
    <t>LMS.Core.DAS.031</t>
  </si>
  <si>
    <t>LMS.Core.DAS.045</t>
  </si>
  <si>
    <r>
      <t></t>
    </r>
    <r>
      <rPr>
        <sz val="10"/>
        <color rgb="FFFF0000"/>
        <rFont val="Arial"/>
        <family val="2"/>
      </rPr>
      <t xml:space="preserve"> For fresh cases (marked as staff in LOS): Applicable ROI will be as received at the time of loan booking. -- Need Spread as well from LOS</t>
    </r>
    <r>
      <rPr>
        <sz val="10"/>
        <color rgb="FF000000"/>
        <rFont val="Arial"/>
        <family val="2"/>
      </rPr>
      <t xml:space="preserve">
</t>
    </r>
    <r>
      <rPr>
        <sz val="10"/>
        <color rgb="FF000000"/>
        <rFont val="Symbol"/>
        <family val="1"/>
        <charset val="2"/>
      </rPr>
      <t></t>
    </r>
    <r>
      <rPr>
        <sz val="10"/>
        <color rgb="FF000000"/>
        <rFont val="Arial"/>
        <family val="2"/>
      </rPr>
      <t xml:space="preserve"> For existing cases (converted to staff): If an employee has an existing loan (before joining DHFL), then existing loan will be closed and new loan will be opened if HR benefit is to be taken by employee.
</t>
    </r>
    <r>
      <rPr>
        <sz val="10"/>
        <color rgb="FF000000"/>
        <rFont val="Symbol"/>
        <family val="1"/>
        <charset val="2"/>
      </rPr>
      <t></t>
    </r>
    <r>
      <rPr>
        <sz val="10"/>
        <color rgb="FF000000"/>
        <rFont val="Arial"/>
        <family val="2"/>
      </rPr>
      <t xml:space="preserve"> For existing staff cases: Applicable ROI will be updated through Bulk Rescheduling.
</t>
    </r>
    <r>
      <rPr>
        <sz val="10"/>
        <color rgb="FF000000"/>
        <rFont val="Symbol"/>
        <family val="1"/>
        <charset val="2"/>
      </rPr>
      <t></t>
    </r>
    <r>
      <rPr>
        <sz val="10"/>
        <color rgb="FF000000"/>
        <rFont val="Arial"/>
        <family val="2"/>
      </rPr>
      <t xml:space="preserve"> System should automatically reschedule the loan account in the event of applicable ROI is changed.
</t>
    </r>
    <r>
      <rPr>
        <sz val="10"/>
        <color rgb="FF000000"/>
        <rFont val="Symbol"/>
        <family val="1"/>
        <charset val="2"/>
      </rPr>
      <t></t>
    </r>
    <r>
      <rPr>
        <sz val="10"/>
        <color rgb="FF000000"/>
        <rFont val="Arial"/>
        <family val="2"/>
      </rPr>
      <t xml:space="preserve"> Effective date for change in ROI will always be in EOD of last day of the month, and the new amort will be displayed on 1st of next month. By default, tenure will be changed for Staff loans.</t>
    </r>
  </si>
  <si>
    <t>TC_DHFL_SL_17</t>
  </si>
  <si>
    <t>Index Rate Change</t>
  </si>
  <si>
    <t> Index Rate Change impact - Change the tenor by default. System should validate the following – 
o  Minimum of (max tenor &amp; age at the time of maturity as configured) at product level
o If the same breaches (negative amort cases), recalculate installment amount.</t>
  </si>
  <si>
    <t>TC_DHFL_IRC01</t>
  </si>
  <si>
    <t>185799, 186093</t>
  </si>
  <si>
    <t>TC_DHFL_IRC02</t>
  </si>
  <si>
    <t>185825, 186093</t>
  </si>
  <si>
    <t>TC_DHFL_IRC03</t>
  </si>
  <si>
    <t>TC_DHFL_IRC04</t>
  </si>
  <si>
    <t>TC_DHFL_IRC05</t>
  </si>
  <si>
    <r>
      <t xml:space="preserve">185799, 186093, </t>
    </r>
    <r>
      <rPr>
        <sz val="10"/>
        <color rgb="FF000000"/>
        <rFont val="Verdana"/>
        <family val="2"/>
      </rPr>
      <t>187897</t>
    </r>
  </si>
  <si>
    <t>TC_DHFL_IRC06</t>
  </si>
  <si>
    <t>TC_DHFL_IRC07</t>
  </si>
  <si>
    <t>185814, 186093</t>
  </si>
  <si>
    <t> For partially disbursed cases, system should recalculate the EMI and generate the new amort with the updated EMI, at the time of final disbursement.</t>
  </si>
  <si>
    <t>185821, 186093</t>
  </si>
  <si>
    <t> If the customer has made a Part Prepayment in the month of March 2016 wherein the cheque / DD is cleared in March 2016, the impact should be given to the loan from 01st April 2016. If RPLR change effect also should be given from 1st April 2016, then the Part Prepayment effect should be given first &amp; then RPLR effect.</t>
  </si>
  <si>
    <t>TC_DHFL_IRC09</t>
  </si>
  <si>
    <t> In case of step – up or step – down payment variation is applicable on a loan, then system should retain the steps as earlier after the rescheduling. The last installment will always be regular installment. In the event of RPLR goes up, then the increase in tenor will be based on the regular installment.</t>
  </si>
  <si>
    <t>TC_DHFL_IRC10</t>
  </si>
  <si>
    <t> RPLR Simulation: Simulation required for future date RPLR (index) change at portfolio level impacting all accounts. 
 Negative Amort Cases: report is required to list down the loan accounts which will be going into negative amortization based on increase in RPLR. Here the future RPLR will be user input, and output will be the loan accounts list.</t>
  </si>
  <si>
    <t>TC_DHFL_IRC11</t>
  </si>
  <si>
    <t>TC_DHFL_IRC12</t>
  </si>
  <si>
    <t> For Teaser Loans: At the end of fixed ROI period for teaser loans, system will perform the ROI conversion from Fixed rate to Floating rate. The applicable ROI will be as per the master level configuration.</t>
  </si>
  <si>
    <t xml:space="preserve">TC_DHFL_IRC13
</t>
  </si>
  <si>
    <r>
      <t>185799, 186093, 186291</t>
    </r>
    <r>
      <rPr>
        <sz val="10"/>
        <color rgb="FF000000"/>
        <rFont val="Verdana"/>
        <family val="2"/>
      </rPr>
      <t xml:space="preserve"> </t>
    </r>
    <r>
      <rPr>
        <strike/>
        <sz val="10"/>
        <color rgb="FF000000"/>
        <rFont val="Verdana"/>
        <family val="2"/>
      </rPr>
      <t>, 187764</t>
    </r>
    <r>
      <rPr>
        <sz val="10"/>
        <color rgb="FF000000"/>
        <rFont val="Verdana"/>
        <family val="2"/>
      </rPr>
      <t>, 187897</t>
    </r>
  </si>
  <si>
    <t>Securitization</t>
  </si>
  <si>
    <t>1. Data is spooled &amp; downloaded (download template is as provided in the section “Download &amp; upload templates” below) from the system based on the input parameters (explained in Rules to spool data section). Each downloaded file will have specific unique pool ID. The standard template to generate the pool ID is to be provided by DHFL.</t>
  </si>
  <si>
    <t>LMS.Core.securitin.055</t>
  </si>
  <si>
    <t>2. User manually prepare the file based on the downloaded pool file &amp; share the records for CIBIL scrub (outside the system).</t>
  </si>
  <si>
    <t>3. User will upload the CIBIL scrub data into the system.</t>
  </si>
  <si>
    <t>4. User downloads the file and share it with Finance Team. This file contains the data fields pertaining to the CIBIL scrub and ALM summary.</t>
  </si>
  <si>
    <t>5. User will upload the finance team response into the system which will include following fields – “Data Shared with Banks” &amp; “Available for Securitization flag”.</t>
  </si>
  <si>
    <t>6. Finance team shares the data with Bank/Financier (outside the system).</t>
  </si>
  <si>
    <t>7. Bank responds with status - approved or rejected) (outside the system). This status is updated against each LAN record, alongwith the particular investor ID in case if its approved.</t>
  </si>
  <si>
    <t>LMS.Core.securitin.103</t>
  </si>
  <si>
    <t>8. Status (as responded by bank) is then uploaded into the system.</t>
  </si>
  <si>
    <t>9. User will generate the details ALM report for approved records.</t>
  </si>
  <si>
    <t>10. Date of agreement will be updated in the system, based on which the cases in the pool will be marked as "Securitized".</t>
  </si>
  <si>
    <t>11. In case of securitization type is PTC (Pass through Certificates), then additionally, bank response can be uploaded. Although system will not restrict to update the securitization tagging for approved cases. The status can be uploaded in the same manner as the approval status is uploaded in the system.</t>
  </si>
  <si>
    <t>New screen is required to capture the details of pool for selected pool ID. Following details are required to be captured – 
 User should be able to enter the pool details after the approval details are uploaded into the system.
 Trustee Details: Trustee Name, Trustee % 
 Investors Details: More than one investor name can be captured. Although a pool can have multiple investors, but at each record level with in the pool, each LAN will be tagged with one investor ID only.
- Investor ID: Investor ID alongwith Bank/FI name will be maintained as LOV at master level. User should be able to select the same at transaction level.
- Sharing % of various heads, such Principal, Interest, Charges, with respect to DHFL and investors is required to be captured.
- Frequency of payout against various heads pertaining to investors is required to be captured. Actual payout is out of scope of LMS, only details are captured for reference purpose.
 At pool level, the above-mentioned information will be captured. It will not have any impact on any transaction or process (except for provisioning). All the other transactions, processes pertaining to the loan account will remain unchanged, and system behavior will be same as that for the normal loan.</t>
  </si>
  <si>
    <t>• Records which are already securitized should be excluded.
• Records for which “Available for Securitization” flag is No, should be excluded.
• Closed loans should be excluded.
• One LAN can be downloaded under multiple pool IDs and also, one pool ID can have multiple investors, but one LAN can be associated with only one investor ID at the time of approval upload.</t>
  </si>
  <si>
    <t>There is no impact on accounting entries peratining to the securitization tagged cases, except for provisioning. Provisioning should be based on the %age sharing applicable for DHFL only. Sharing percentage to be maintained at pool level.</t>
  </si>
  <si>
    <t>IMGC</t>
  </si>
  <si>
    <t>• At Loan Booking: details pertaining to loan booked under IMGC scheme to be shared with IMGC tracker</t>
  </si>
  <si>
    <t>IMGC.001</t>
  </si>
  <si>
    <t>IMGC.008</t>
  </si>
  <si>
    <t xml:space="preserve">• Loan Cancellation: At the time of loan cancellation, IMGC fee which was paid earlier to IMGC will be receivable. details pertaining to loan under IMGC scheme which are cancelled, to be shared with IMGC module </t>
  </si>
  <si>
    <t>IMGC.013</t>
  </si>
  <si>
    <t>IMGC.014</t>
  </si>
  <si>
    <t>IMGC.015</t>
  </si>
  <si>
    <t>• NPA marking: status pertaining to loan under IMGC scheme which are moved to NPA status, to be shared with IMGC tracker. Details fields to be shared will be provided by DHFL.</t>
  </si>
  <si>
    <t>IMGC.010</t>
  </si>
  <si>
    <t>IMGC.011</t>
  </si>
  <si>
    <t>IMGC.017</t>
  </si>
  <si>
    <t>IMGC.018</t>
  </si>
  <si>
    <t>• Refund to IMGC for NPA cases which has been regularized. The data which is required to be shared from LMS to IMGC module</t>
  </si>
  <si>
    <t>IMGC.012</t>
  </si>
  <si>
    <t>IMGC.019</t>
  </si>
  <si>
    <t>• Settlement: 
- At the time of settlement, the claim amount in IMGC parking account against the loan should be adjusted. The amount which is adjusted against the settlement should over and above the settlement amount with customer. For example, total outstanding amount = 1,10,000. Settlement Amount = 1,00,000. Amount available in IMGC parking account against the loan = 15,000. Then, System should allocate 10,000 from IMGC parking account to cover the outstanding amount. Remaining 5,000 should be refunded to IMGC</t>
  </si>
  <si>
    <t>IMGC.020</t>
  </si>
  <si>
    <t>IMGC.021</t>
  </si>
  <si>
    <t>Subvention</t>
  </si>
  <si>
    <t xml:space="preserve"> PEMI subvention: where builders pays the PEMIs pertaining to the loan account until the subvention periods ends.
 EMI subvention: In such case builder provides the full/partial interest subvention for PEMIs / EMIs. The subvention rate, subvention period, NPV discounting rate is defined as the fixed percentage at the time of sanctioning. Customer will pay the remaining interest portion and complete principal portion.
</t>
  </si>
  <si>
    <t>LMS.Core.subvntn.003</t>
  </si>
  <si>
    <t>LMS.Core.subvntn.005</t>
  </si>
  <si>
    <t>LMS.Core.subvntn.066</t>
  </si>
  <si>
    <t>LMS.Core.subvntn.067</t>
  </si>
  <si>
    <t>LMS.Core.subvntn.020</t>
  </si>
  <si>
    <t>LMS.Core.subvntn.021</t>
  </si>
  <si>
    <t>NPV subvention: 
 If NPV flag is Yes then system should calculate the NPV amount for particular disbursement tranche based on disbursement amount, subvention period, subvention ROI, NPV discounting rate. This NPV will then be further apportioned against the dues for the subvention period.</t>
  </si>
  <si>
    <t>LMS.Core.subvntn.016</t>
  </si>
  <si>
    <t>LMS.Core.subvntn.017</t>
  </si>
  <si>
    <t>Type of Subvention: 
 Full PEMI: full interest is borne by builder. 
 Partial PEMI: In this case, builder will bear the interest liability based on the subvention ROI.</t>
  </si>
  <si>
    <t>Nature of Subvention: 
 Upto: upto % denotes the % of ROI which will be applicable for builder. Remaining ROI % will be applicable for customer. 
 Above: above % denotes the % of ROI which will be applicable for customer. Remaining ROI % will be applicable for builder.</t>
  </si>
  <si>
    <t>LMS.Core.subvntn.004</t>
  </si>
  <si>
    <t>LMS.Core.subvntn.010</t>
  </si>
  <si>
    <t>LMS.Core.subvntn.112</t>
  </si>
  <si>
    <t>Period of subvention: duration for which the subvention will be applicable</t>
  </si>
  <si>
    <t>LMS.Core.subvntn.006</t>
  </si>
  <si>
    <t> Impact on Mandate Processing/ PDC Processing
o In scenario’s where in the sub vented interest is not been deducted from disbursement, or collected upfront. Builder shall be bear the PEMI Interest for the amount disbursed on behalf of the customer.
o Operations shall collect the Mandates or PDC’s form Builder for the PEMI amount and enter the details in LMS as per existing functionality of PDC and ECS.</t>
  </si>
  <si>
    <t> Impact on Part Pre-Payment.
o Prepayment will be applicable on subvention cases. 
o Impact of prepayment should be only on tenor, and not on EMI. EMI should remain fixed. 
o Refund to Builder: It is decided on case to case basis. Refund is not provided to builder in every case. DHFL to clarify how the NPV residual amount needs to be adjusted. If refund is provided to builder, it will be taken care manually through the issuance of credit note. --- we have separate menu for subvention refund</t>
  </si>
  <si>
    <t>LMS.Core.subvntn.040</t>
  </si>
  <si>
    <t>LMS.Core.subvntn.042</t>
  </si>
  <si>
    <t> Impact on Full Prepayment.
o Refund to Builder: It is decided on case to case basis. Refund is not provided to builder in every case. DHFL to clarify how the NPV residual amount needs to be adjusted. If refund is provided to builder, it will be taken care manually through the issuance of credit note. --- we have separate menu for subvention refund</t>
  </si>
  <si>
    <t>LMS.Core.subvntn.073</t>
  </si>
  <si>
    <t>LMS.Core.subvntn.076</t>
  </si>
  <si>
    <t> Impact on ROI Change
o ROI Change will be applicable on subvention cases in case RPLR is changed. In such case, there will be no impact on upfront payment (and subsequent allocation) of subvention interest done by builder.</t>
  </si>
  <si>
    <t>LMS.Core.subvntn.063</t>
  </si>
  <si>
    <t>LMS.Core.subvntn.064</t>
  </si>
  <si>
    <t>LMS.Core.subvntn.065</t>
  </si>
  <si>
    <t> Impact on Rescheduling of Loan:
o In case of rescheduling, the subvention period will remain same, and builder NPV and waiver apportionment for the subvention period should also remain unchanged.</t>
  </si>
  <si>
    <t>LMS.Core.subvntn.045</t>
  </si>
  <si>
    <t>LMS.Core.subvntn.046</t>
  </si>
  <si>
    <t>LMS.Core.subvntn.047</t>
  </si>
  <si>
    <t>LMS.Core.subvntn.048</t>
  </si>
  <si>
    <t>LMS.Core.subvntn.105</t>
  </si>
  <si>
    <t>LMS.Core.subvntn.106</t>
  </si>
  <si>
    <t>LMS.Core.subvntn.107</t>
  </si>
  <si>
    <t>Instrument Processing</t>
  </si>
  <si>
    <t>Batch Creation is an automatic scheduled process which would be executed by Batch Framework and it would be executed as an organization branch wise, to support hold process of batch creation for a branch.
Batch is created as per configuration defined in master table. Clearing Batch is a functionality through which user can view the batch details whose status is 
1. Open
2. Partially Released
3. Closed
4. Scheduled Download</t>
  </si>
  <si>
    <t>TC_DHFL_INSTRUMENT_PROCESS_05</t>
  </si>
  <si>
    <t xml:space="preserve">  Accepting instruments from customer through recovery mode E-payment mode, PDC, ECS or DRE through cheque/ mandate then it is necessary to verify instrument and process it
 Only active mandates should be considered for instrument processing.
 For verifying and processing of cheques / mandates, batch processing is required
 After accepting instrument through cheque/ mandate, system will create respective batches. Batch is created for period set in Batch Configuration screen: - advance batch creation day
 Batch is created for instrument whose status is Unpaid for specific period
 After creating a batch, the status will be marked as ‘open’</t>
  </si>
  <si>
    <t>TC_DHFL_INSTRUMENT_PROCESS_04</t>
  </si>
  <si>
    <t> Additional column will be available on clearing batch summary to display the NCL status
 When the status of batch is open and is not marked for schedule, user can manually mark instrument status as Hold, Present, and Return but not realized.
 Batch processing activity will be done by CPU user or Vendor as per the access rights.
 System can mark instrument as Hold when –
o Instrument Not Received
o Requested by User
o Post Dated Cheque
 System can mark instrument as Present when instrument is received.
 When user marks that batch as mark for schedule than only those instruments will go for processing</t>
  </si>
  <si>
    <t>TC_DHFL_NCL_11</t>
  </si>
  <si>
    <t>TC_DHFL_NCL_12</t>
  </si>
  <si>
    <t>TC_DHFL_NCL_13</t>
  </si>
  <si>
    <t>TC_DHFL_NCL_14</t>
  </si>
  <si>
    <t> Payin Slip Generation:
o Payin slip should be generated when batch is marked for schedule.
o In case of branch banking, Payin slip generation will be done by user for PDC of accounts of same branch.
o In case of Central banking, Payin slip generation will be done by CPU for PDC of accounts of branches which are mapped to that CPU.
 Number of records in a Pay-in Slip: It should be configurable at master level. Presently it is required to be 50 per pay-in slip. So for example, if there are 155 records in a batch, then 4 pay-in slips will be generated with 50, 50, 50, &amp; 5 records.</t>
  </si>
  <si>
    <t>TC_DHFL_INSTRUMENT_PROCESS_07</t>
  </si>
  <si>
    <t>Released</t>
  </si>
  <si>
    <t>TC_DHFL_INSTRUMENT_PROCESS_09</t>
  </si>
  <si>
    <t>TC_DHFL_DRE_CHQ_33</t>
  </si>
  <si>
    <t>TC_DHFL_DRE_CHQ_34</t>
  </si>
  <si>
    <t>TC_DHFL_DRE_CHQ_35</t>
  </si>
  <si>
    <t xml:space="preserve">184689, 185622, 185663 </t>
  </si>
  <si>
    <t>TC_DHFL_DRE_CHQ_36</t>
  </si>
  <si>
    <t xml:space="preserve">184689, 185663 </t>
  </si>
  <si>
    <t> When status of Instrument is present then user can mark instrument as Hold, present Return when –
o Account is closed
o Instrument not signed
o Signature not matching</t>
  </si>
  <si>
    <t>TC_DHFL_HSC_30</t>
  </si>
  <si>
    <t>TC_DHFL_HSC_31</t>
  </si>
  <si>
    <t> When status of instrument is marked as realized, the payment is applied during the EOD</t>
  </si>
  <si>
    <t>TC_DHFL_INSTRUMENT_PROCESS_10</t>
  </si>
  <si>
    <t> When status of instrument marked as realized then status of Batch is updated as closed. But this status depends upon overall instruments present in batch
 When status of some instrument is Present and some are realized then status of batch is partially released when all instruments present in that batch is marked as realized then status of that Batch is updated as closed</t>
  </si>
  <si>
    <t>TC_DHFL_INSTRUMENT_PROCESS_08</t>
  </si>
  <si>
    <t> When batch status is closed and payment applied then system cannot update status of instrument as Hold or reject</t>
  </si>
  <si>
    <t>TC_DHFL_INSTRUMENT_PROCESS_06</t>
  </si>
  <si>
    <t> Deemed clearance to be marked on cycle date irrespective of deposit bank and cheque status to be presented and on actual clearance or bounce, cheque status and clearance date to be updated.
 In case of instruments are put on hold, deemed clearance will not be marked for such instruments</t>
  </si>
  <si>
    <t>TC_DHFL_NCL_16</t>
  </si>
  <si>
    <t>Accounting is not delivered.</t>
  </si>
  <si>
    <t> Batch will be created in LMS for both branch banking and central. In case of branch banking, LMS will provide the batch file at specific location on the database server, from where it can be picked by CRM Receipting module.
 Sorting of Batch: it should be done based on Branches, and then within particular branch it should be sorted by LAN.</t>
  </si>
  <si>
    <t> Currently there are only few statuses that are available in the instrument batch processing – Hold, Realized, Presented and Return. Now another status ‘NCL’ to be added.</t>
  </si>
  <si>
    <t> NCL marking is to be maintained as a status of the instrument where the actual status of that instrument is yet to be received from the bank but the instrument is auto realized or cleared immediately.</t>
  </si>
  <si>
    <t>TC_DHFL_NCL_15</t>
  </si>
  <si>
    <t> Also, the batch cannot be closed even if a single instrument within that batch is in NCL status.</t>
  </si>
  <si>
    <t> In case of immediate clearing, the status of the instrument will be marked as NCL and payment to be applied immediately and accounting entries to be passed. In this scenario, system will not wait for the due date.</t>
  </si>
  <si>
    <t> If immediate clearing is not checked, and if auto realization is applicable, and if no response file is received against an instrument on the due date, such instruments too will be marked as NCL and payment will be applied and accounting entries too will be passed on the due date + Auto realization date (here assuming due date and download date are one and the same. If the batch is downloaded post the due date, auto realization will happen download date + auto realization days)</t>
  </si>
  <si>
    <t>TC_DHFL_NCL_17</t>
  </si>
  <si>
    <t> If immediate clearing is not checked, and if auto realization is not applicable, and if no response file is received against an instrument on the due date, such instruments will not be marked as NCL, payment will be applied and accounting entries too will be passed only when the actual status is received.</t>
  </si>
  <si>
    <t> If bounce reason is insufficient funds then same instrument can be represented.</t>
  </si>
  <si>
    <t>TC_DHFL_NCL_18</t>
  </si>
  <si>
    <t> Upload option is required for Instrument Bounce Representation with same fields as displayed on screen. On clicking save, system should check if bounce record is present or not and then only allow saving the data.</t>
  </si>
  <si>
    <t>TC_DHFL_IBR_19</t>
  </si>
  <si>
    <t> If any record fails in clearance upload file due to any error then system should not process any records and entire file should be rejected with errors and error file should be provided.</t>
  </si>
  <si>
    <t>TC_DHFL_IBR_23</t>
  </si>
  <si>
    <t> Bounce representation should be allowed even in case, if for that month in which bounce has occurred, dues are cleared as on date.</t>
  </si>
  <si>
    <t>TC_DHFL_IBR_24</t>
  </si>
  <si>
    <t> If any earlier marked bounced instrument is cleared later (late clearance of the instrument), and during the interim period if any transaction is happened on the account, then the same will not be impacted. But if any penal / bounce charges which were raised and paid / unpaid, should be reversed. Also the amount which is received through clearance will be updated against the account.</t>
  </si>
  <si>
    <t>TC_DHFL_IBR_26</t>
  </si>
  <si>
    <t>Delayed bounce marking process is marking instrument (Instrument typically means here cheque) as bounce after the instrument has been marked as cleared. This scenario arises when user forgets to mark instrument as bounce by mistake. Delayed bounce marking screen is available to mark the instrument as delayed bounce. Instruments under the NCL status batch will automatically be marked as bounced after the response file is uploaded. Manual intervention of delayed bounce marking will not come into picture in this scenario.</t>
  </si>
  <si>
    <t>TC_DHFL_DBM_27</t>
  </si>
  <si>
    <t>TC_DHFL_DBM_28</t>
  </si>
  <si>
    <t>Delayed bounce marking should be allowed on closed accounts (on which payment can be received but account not to be reopened), or NPA accounts, or accounts which were restructured, or accounts where settlement is in progress. On delayed bounce marking, penal to be calculated from that day, and accounting to be reversed as on date with value date as the date when clearance was given. No other intermittent transactions will be affected by this reversal of entries.</t>
  </si>
  <si>
    <t>User can put instrument on Hold at the request of the customer. Instrument which are on hold, user can change status of instrument by using this screen. Instrument then undergoes process of Instrument processing.</t>
  </si>
  <si>
    <t>TC_DHFL_HSC_29</t>
  </si>
  <si>
    <t>Customer Level Transaction</t>
  </si>
  <si>
    <t>Personal details screen is available for only Individual customer types. This screen allows the user to change personal details of the individual customers. Details like Date of Birth, Marital Status, and number of dependents can be modified as per customer’s request.</t>
  </si>
  <si>
    <t>The user can modify the contact details of a customer at any time by clicking on the contact details function. This screen captures and displays the contact details of the customer. The user can also select preferred mode and time of communication as per customer’s convenience.</t>
  </si>
  <si>
    <t>The user can add/modify the address details of a customer by clicking on the Address details function. It is possible for the user to enter different types of addresses for the customer. The user can also modify existing address by clicking on the type of the address in the grid. The addresses that can be entered/ modified are the Current. Permanent and office address.</t>
  </si>
  <si>
    <t>TC_DHFL_CAD_01</t>
  </si>
  <si>
    <t>TC_DHFL_CAD_02</t>
  </si>
  <si>
    <t>The user can modify the bank details of a customer at any time by clicking on the bank details function. This screen captures and displays the bank details of the customer. The user can also select one /multiple of the customer’s accounts as an account/s to be used for repayment. 
IFSC to be available on Bank Details at customer level. Input should be MICR or IFSC and bank code and branch name.</t>
  </si>
  <si>
    <t>This screen allows the user to view the customer’s current occupation details. During loan servicing, customer’s employer details may change; this screen also allows modifying the employer /occupation details. The screen has the provision to record details for individuals who are:
 Employed
 Self Employed</t>
  </si>
  <si>
    <t>During loan servicing, the customer’s income might change; this screen allows the user to change the income details. It also allows adding new income head among the following:
 Business Income 
 Investment 
 Salary 
 Pension 
 Rental</t>
  </si>
  <si>
    <t>This is applicable for Organization customer type. During loan servicing, an organizations income and expenses might change; this screen allows the user to change the income and expense details of an organization.</t>
  </si>
  <si>
    <t>This screen allows the user to view the customer’s organization details. During loan servicing, customer’s organization details may change; this screen also allows modifying the organization details.</t>
  </si>
  <si>
    <t>This screen allows the user to see a comprehensive view of the accounts under customer’s name. On selecting the account, a user can see the overview of the selected account.</t>
  </si>
  <si>
    <t>All customer related data will be maintained in CRM only. Thus, customer name change will happen in CRM. This name change information will be passed on to LMS through interface, where the name change should get reflected for the customer ID.</t>
  </si>
  <si>
    <t>This screen is designed so that a user can write any details/observations about the customer by adding a note.</t>
  </si>
  <si>
    <t>Key Common Points</t>
  </si>
  <si>
    <t>Details of disbursement cheque to be passed from LOS to LMS along with the clearance status of the cheque</t>
  </si>
  <si>
    <t>Writing in Progress</t>
  </si>
  <si>
    <t xml:space="preserve">Provision for entering CRM ID in LMS transaction screen will be available in maker activities. For transactions where the maker activity is performed in CRM, the CRM ID will be come to LMS along with other data through interface. </t>
  </si>
  <si>
    <t xml:space="preserve">Has been checked for multiple functionlities </t>
  </si>
  <si>
    <t>Key common points - Bulk Transactions</t>
  </si>
  <si>
    <t>Bulk DRE, Bulk Part prepayment, Bulk Rescheduling will be done through in LMS.</t>
  </si>
  <si>
    <t>TC_DHFL_BLK_RES_01,
TC_DHFL_BLK_RES_02,
TC_DHFL_BLK_RES_03,
TC_DHFL_BLK_RES_04,
TC_DHFL_BLK_RES_05,
TC_DHFL_BLK_RES_06,
TC_DHFL_BLK_RES_07,
TC_DHFL_BLK_RES_08,
TC_DHFL_BLK_RES_09,
TC_DHFL_BLK_RES_10,
TC_PPU_001 --&gt; TC_PPU_021
TC_DHFL_BLK_DRE_01 --&gt; TC_DHFL_BLK_DRE_22</t>
  </si>
  <si>
    <t>Key Common Points - Maker-Checker/Authorizer</t>
  </si>
  <si>
    <t>·         All the service requests will be initiated in CRM. The details of which will be passed on to the LMS through interface.</t>
  </si>
  <si>
    <t>On save of a request, the request number will be generated and the request will go to checkers queue. The status will be ‘Pending’</t>
  </si>
  <si>
    <t>Generic, covered for respective functionlities</t>
  </si>
  <si>
    <t>Checker screen will have two buttons: Accept and Reject. If checker accepts the request, the request will be processed further, and the status will change to ‘Processed’. System will do the required validations again, and warn the user in case of changed data. The warning message will be: ‘The values are different from the request values.’. By default ‘Ok’ button on warning message will be selected.
-  If user clicks on ‘Ok’, then the Accept button will be enabled.
- If checker rejects the request, the status of the request will be ‘Rejected’ and the request will be returned to the maker’s work list. Reject reason is mandatory in case of Reject.</t>
  </si>
  <si>
    <t>Maker can view this rejected request, and edit details if required. Checkers’ reject reason and remarks if any will be displayed on the screen. If the maker makes any changes to existing data, the Save button will be enabled.</t>
  </si>
  <si>
    <t>Validations and checks will be re-done for the edited values. On save of this request (with edited details), the status will again change to ‘Pending’, and will be available in the checker’s work list</t>
  </si>
  <si>
    <t>In case the request is not to be taken further, the maker should cancel the request by click on ‘Cancel Request’ button that will be enabled for all rejected requests. Maker will be able to see the rejected reason or remarks entered by the checker at the time of rejection. The remarks and reason will always show the last updated values</t>
  </si>
  <si>
    <t>On checker screen, the section under which the checker will mark a decision will be labeled as “Request ID Number – Decision”</t>
  </si>
  <si>
    <t>Both maker and checker screen will display fields named “Previous Reason” and “Current Reason” along with Remarks. So, in cases like write off it may be required by the maker to put in specific reason or remarks. History of reason to be maintained</t>
  </si>
  <si>
    <t>On save of such a request, the request number will be generated and the request will go in the queue for authorization. The status will be ‘Pending’</t>
  </si>
  <si>
    <t xml:space="preserve"> Authorization screen will have two options: Approve and Reject</t>
  </si>
  <si>
    <t>If authorizer approves the request, the request will be processed further, and the status will change to ‘Processed’</t>
  </si>
  <si>
    <t>If authorizer declines the request, the status of the request will be ‘Declined’</t>
  </si>
  <si>
    <t>In the event of Decline, the decline reason is mandatory</t>
  </si>
  <si>
    <t>A remark column will also be available for authorization</t>
  </si>
  <si>
    <t>The declined request is declined on a permanent basis and exits the request processing queue</t>
  </si>
  <si>
    <t>There will be a single work list that will display declined or cancelled requests for both loan and customer level</t>
  </si>
  <si>
    <r>
      <t>These requests will get displayed for a specific time-period.</t>
    </r>
    <r>
      <rPr>
        <sz val="11"/>
        <color rgb="FF000000"/>
        <rFont val="Calibri"/>
        <family val="2"/>
        <scheme val="minor"/>
      </rPr>
      <t xml:space="preserve"> The time-period of 31 days will be defined which will be calculated between business date and date on which request was declined or cancelled. The time-period will be based on the parameter set up in GCM. E.g. if parameter value set up is 31 days and business date is 3</t>
    </r>
    <r>
      <rPr>
        <vertAlign val="superscript"/>
        <sz val="11"/>
        <color rgb="FF000000"/>
        <rFont val="Calibri"/>
        <family val="2"/>
        <scheme val="minor"/>
      </rPr>
      <t>rd</t>
    </r>
    <r>
      <rPr>
        <sz val="11"/>
        <color rgb="FF000000"/>
        <rFont val="Calibri"/>
        <family val="2"/>
        <scheme val="minor"/>
      </rPr>
      <t xml:space="preserve"> July 2016 then the system will display records that were cancelled or declined between 2nd June 2016 and 3</t>
    </r>
    <r>
      <rPr>
        <vertAlign val="superscript"/>
        <sz val="11"/>
        <color rgb="FF000000"/>
        <rFont val="Calibri"/>
        <family val="2"/>
        <scheme val="minor"/>
      </rPr>
      <t>rd</t>
    </r>
    <r>
      <rPr>
        <sz val="11"/>
        <color rgb="FF000000"/>
        <rFont val="Calibri"/>
        <family val="2"/>
        <scheme val="minor"/>
      </rPr>
      <t xml:space="preserve"> July 2016. User will be able to view these transactions in history.</t>
    </r>
  </si>
  <si>
    <t>On authorization screen, the section under which the authorizer will mark a decision will be labeled as “Request ID Number – Decision”</t>
  </si>
  <si>
    <t>Both requestor and authorizer screen will display fields named “Previous Reason” and “Current Reason” along with Remarks. So, in cases like write off it may be required by the requestor to put in specific reason or remarks</t>
  </si>
  <si>
    <t>Major difference in checker and authorization is that checker can be of the same level as the maker, whereas authorizer will be of the supervisor  level (the level of supervisor as per the user configuration). System automatically allocates the cases to checker / authorizer with in the same business unit (branch, CPU or HO) based on round robin algorithm. Based on the configuration, the request can either go to checker or authorizer.</t>
  </si>
  <si>
    <r>
      <t>Thus, the request pending for checker can be allocated to a user having the same level as the maker</t>
    </r>
    <r>
      <rPr>
        <u/>
        <sz val="11"/>
        <color rgb="FF000000"/>
        <rFont val="Calibri"/>
        <family val="2"/>
        <scheme val="minor"/>
      </rPr>
      <t>, and pertaining to the same BU</t>
    </r>
  </si>
  <si>
    <t>In case of authorization, the user will be a supervisor-level user of the same business unit (branch, CPU or HO).</t>
  </si>
  <si>
    <t>Further, to which user the request will be allotted; will depend on the round robin algorithm.</t>
  </si>
  <si>
    <t>If any request is pending for approval, then no other transaction (other than update of customer data) can be performed on the account. The request should be cancelled/ rejected by authorizer.</t>
  </si>
  <si>
    <t>Following fields to be renamed in LMS, wherever applicable -
1. Discount field to be renamed to waiver.
2. New finance amount to be renamed to new loan amount.</t>
  </si>
  <si>
    <t>TC_DHFL_AO_03</t>
  </si>
  <si>
    <t>WIP</t>
  </si>
  <si>
    <t>TC_DHFL_AO_04</t>
  </si>
  <si>
    <t>187561,
187675</t>
  </si>
  <si>
    <t>Key Common Points - Instrument Processing</t>
  </si>
  <si>
    <r>
      <t xml:space="preserve">Deemed clearance to be marked on cycle date irrespective of deposit bank and cheque status to be changed to ‘Presented’. On actual clearance or bounce marking, </t>
    </r>
    <r>
      <rPr>
        <u/>
        <sz val="11"/>
        <color rgb="FF000000"/>
        <rFont val="Calibri"/>
        <family val="2"/>
        <scheme val="minor"/>
      </rPr>
      <t xml:space="preserve">cheque status and clearance date should get updated through upload. </t>
    </r>
  </si>
  <si>
    <t>In case PDC entry is not available for any particular month, deemed clearance won’t be marked.</t>
  </si>
  <si>
    <t>TC_DHFL_PDC_24</t>
  </si>
  <si>
    <t>Deemed clearance is not applicable in case of settlement and full pre-payment. In these cases, clearance will be marked on realization.</t>
  </si>
  <si>
    <t>TC_DHFL_DC_37</t>
  </si>
  <si>
    <t>Accounting not delivered</t>
  </si>
  <si>
    <t>TC_DHFL_DC_38</t>
  </si>
  <si>
    <t>Key Common Points - PDC Entry</t>
  </si>
  <si>
    <t>PEMI and EMI tagging to be made available. This information will be used for passing different accounting entries, if required
E.g. If Loan is on PEMI then installment should be tagged as PEMI and if EMI has started then installment should be tagged as EMI</t>
  </si>
  <si>
    <t>TC_DHFL_PDC_09</t>
  </si>
  <si>
    <t>TC_DHFL_PDC_16</t>
  </si>
  <si>
    <t>Key Common Points - Staff Loans</t>
  </si>
  <si>
    <t>HR Benefit Master is required in LMS for maintaining interest rates for staff against their vintage.</t>
  </si>
  <si>
    <t>TC_DHFL_SL_01</t>
  </si>
  <si>
    <t>Further effective date for change in rate will always be in EOD of last date of the month and new Amort will be displayed on 1st of next month. By default, tenure will always be changed for Staff. In case of negative amort, installment amount will be adjusted.</t>
  </si>
  <si>
    <t>Reference Interest rate to be defined for Staff loans at master level with effective date. This rate will be used to calculate the difference rate (Reference interest rate - Staff loan account rate). 2 Amorts will be drawn - first with reference interest rate and second with staff loan account rate. In month end, report will be generated mentioning the difference in interest component. This will always list the interest due component..</t>
  </si>
  <si>
    <t>TC_DHFL_SL_02</t>
  </si>
  <si>
    <t>In case of rate change either reference interest rate or staff loan account rate based on HR benefit master, Amorts to be replotted and on every transaction impacting the schedule of the account</t>
  </si>
  <si>
    <t>TC_DHFL_SL_18</t>
  </si>
  <si>
    <t xml:space="preserve"> Tagging of accounts as staff and with/ without HR benefits to be available in LMS along with employee code which will flow from LOS</t>
  </si>
  <si>
    <t>TC_DHFL_SL_19</t>
  </si>
  <si>
    <t>For staff accounts, repayment mode will be DAS mainly and can be any other repayment mode if specified by the user in LOS and later changed in LMS</t>
  </si>
  <si>
    <t>TC_DHFL_SL_06</t>
  </si>
  <si>
    <t>TC_DHFL_SL_07</t>
  </si>
  <si>
    <t>BPI applicable in LOS on partly disbursed cases should be made due on the date of disbursement</t>
  </si>
  <si>
    <t>TC_DHFL_SL_20</t>
  </si>
  <si>
    <t>Data required in the form of excel report from LMS which will be generated by the user and will be manually sent to HRMS containing loan accounts which are staff and repayment mode is DAS (Refer Section 11 Annexure)</t>
  </si>
  <si>
    <t>TC_DHFL_SL_10</t>
  </si>
  <si>
    <t>LMS.Core.DAS.042</t>
  </si>
  <si>
    <t>Data will be received from HRMS against each loan account and the amount that is deducted against salary which will be updated in LMS and payment will be applied accordingly (Refer Section 11 Annexure)</t>
  </si>
  <si>
    <t>LMS.Core.DAS.041</t>
  </si>
  <si>
    <t>In every transaction in LMS, CRM ID to be captured by the user in case maker activity is performed in LMS, in other cases where the receipting is done in CRM, the CRM ID will be populated along with other data through interface.</t>
  </si>
  <si>
    <t xml:space="preserve">·         Collateral Management: Following functionalities are required – </t>
  </si>
  <si>
    <t>Key Common Points - Asset Details Edit</t>
  </si>
  <si>
    <t xml:space="preserve">                                                              i.      Periodic Technical Valuation: User should be able to update the valuation details pertaining to the particular collateral.</t>
  </si>
  <si>
    <t xml:space="preserve">                                                             ii.      Charge Removal: Following are the various type of charges which can be created on a particular collateral – ROC charge, CERSAI Charge, Registered Mortgage. Following is the functionality considered in scope pertaining to charge removal - </t>
  </si>
  <si>
    <t xml:space="preserve">1.      New screen will be required in CMS to display the Charge creation details. (view only as it should come through LOS). And user should be able to update / upload the charge removal details (charge removal date, remarks) for the particular collateral. </t>
  </si>
  <si>
    <t>2.      At the time of releasing the NOC &amp; documents of the collateral, system should validate that charge removal flag is Y for the collateral.</t>
  </si>
  <si>
    <t>3.      Charge removal details will be manually entered / uploaded by the user into the system. System will not interface with any external agency pertaining to the charge removal (other than ROC).</t>
  </si>
  <si>
    <t xml:space="preserve">4.      For ROC charge removal, details of collaterals will be shared with the vendor by providing the file at the specified location on the database. </t>
  </si>
  <si>
    <t>·         CRM Receipting Module: Receipting will be done in CRM pertaining to the following user transactions – DRE, Part pre-payment, full pre-payment, rescheduling (other than system rescheduling). Receipting related points are updated at relevant sections.</t>
  </si>
  <si>
    <t>For each loan following amorts are considered – Customer amort, Insurance/HL component amort, and Business IRR amort. Please check section 10 reports.</t>
  </si>
  <si>
    <t>Advance EMI will be parked in separate Advance EMI GL before apportionment.</t>
  </si>
  <si>
    <t>Advance EMI apportionment will - 
     i.      Will be done manually.  After manual adjustment Advance EMI amount will be credited to excess, from where it will be adjusted to the dues as part of EOD process.
 ii.      To apportion the advance amount manually at any stage (other than loan maturity), ‘Advance Amount Transfer’ screen will be available for transferring advance EMI amount to excess pool (Refer Section 11 Annexure). From excess, the adjustment against Overdues will happen automatically. This manual adjustment can be done after the loan closure as well for refund purpose.</t>
  </si>
  <si>
    <t xml:space="preserve">Repayment Variation Details </t>
  </si>
  <si>
    <t xml:space="preserve">Following payment variations are to be supported:
 Equated Installment
 Equated Principal Installment
 Moratorium – This can have interest moratorium and principal moratorium. For principal moratorium, there are two options, interest is paid or capitalized based on frequency.
 Step up / down – This includes variations around step up / down by flat amount or as a % of the installment amount. Step up as a % of Principal recovery is also possible. 
 Balloon Payments – Pre-defined balloon payments can be made towards Principal
 Skip – Upfront or Intermittent
</t>
  </si>
  <si>
    <t>TC_AM_02</t>
  </si>
  <si>
    <t>TC_AM_03</t>
  </si>
  <si>
    <t>TC_AM_04</t>
  </si>
  <si>
    <t>TC_AM_05</t>
  </si>
  <si>
    <t>TC_AM_06</t>
  </si>
  <si>
    <t>TC_AM_07</t>
  </si>
  <si>
    <t>TC_AM_08</t>
  </si>
  <si>
    <t>TC_AM_09</t>
  </si>
  <si>
    <t>TC_AM_10</t>
  </si>
  <si>
    <t>Interest Rate Basis</t>
  </si>
  <si>
    <t>Interest Rate Basis should be reducing balance method. Reducing balance method is where the interest component is determined based on the outstanding principal balance after the payment of the installment.</t>
  </si>
  <si>
    <t>Repayment Frequency</t>
  </si>
  <si>
    <t>The repayment frequencies applicable in case of DHFL will be Monthly, Quarterly, Half yearly, Yearly. The same should be allowed to be changed at account level. Applicable to both Normal and NPA accounts.</t>
  </si>
  <si>
    <t>Rest Frequencies</t>
  </si>
  <si>
    <t>The rest frequencies applicable in case of DHFL will be Monthly, Quarterly, Half yearly, Yearly.</t>
  </si>
  <si>
    <t>Interest Accrual Frequency</t>
  </si>
  <si>
    <t>Interest accrual frequency is the frequency at which accrual of interest is done. The Interest accrual frequency for DHFL will be Monthly. Interest accrual is done on monthly basis and reversed at the beginning of the next month (1st day of next month).</t>
  </si>
  <si>
    <t>TC_DHFL_IAF_01</t>
  </si>
  <si>
    <t>TC_DHFL_IAF_02</t>
  </si>
  <si>
    <t>Interest Rate Type</t>
  </si>
  <si>
    <t xml:space="preserve">The Interest rate types in case of DHFL are as – 
• Floating (variable) Interest rate basis.
• Fixed Interest Rate basis
• Mixed Loans (Fixed + Floating) for teaser loans
</t>
  </si>
  <si>
    <t>Too Many to point out</t>
  </si>
  <si>
    <t>Interest Calculation Logic</t>
  </si>
  <si>
    <t>The interest calculation logic for DHFL will be 30/360.</t>
  </si>
  <si>
    <t>Other interest calculation options i.e. Actual/ Actual and Actual/ 360 will also be available and should be checked.</t>
  </si>
  <si>
    <t>TC_AM_61</t>
  </si>
  <si>
    <t>TC_AM_70</t>
  </si>
  <si>
    <t xml:space="preserve">BPI Calculation Basis </t>
  </si>
  <si>
    <t>The interest calculation logic for BPI for DHFL will be Actual/Actual</t>
  </si>
  <si>
    <t>TC_DHFL_DP_01</t>
  </si>
  <si>
    <t>TC_DHFL_DP_04</t>
  </si>
  <si>
    <t>TC_DHFL_DP_17</t>
  </si>
  <si>
    <t>BPI is applicable only in case of disbursement only.</t>
  </si>
  <si>
    <t xml:space="preserve">Payment Apportionment </t>
  </si>
  <si>
    <t> Payment Apportion logic can be defined at following levels as below –
o Organization/System Level
o Portfolio Level
Such that, If no rules are defined at Portfolio level then system will refer to Organisation/System level for payment apportionment</t>
  </si>
  <si>
    <t>covered as part of payment application</t>
  </si>
  <si>
    <r>
      <t>§</t>
    </r>
    <r>
      <rPr>
        <sz val="7"/>
        <color rgb="FF000000"/>
        <rFont val="Times New Roman"/>
        <family val="1"/>
      </rPr>
      <t xml:space="preserve">  </t>
    </r>
    <r>
      <rPr>
        <sz val="10"/>
        <color rgb="FF000000"/>
        <rFont val="Arial"/>
        <family val="2"/>
      </rPr>
      <t xml:space="preserve">In case of </t>
    </r>
    <r>
      <rPr>
        <sz val="12"/>
        <color rgb="FF000000"/>
        <rFont val="Calibri"/>
        <family val="2"/>
      </rPr>
      <t>DHFL &amp; AHFL,</t>
    </r>
    <r>
      <rPr>
        <sz val="10"/>
        <color rgb="FF000000"/>
        <rFont val="Arial"/>
        <family val="2"/>
      </rPr>
      <t xml:space="preserve"> the payment apportionment logic will be defined at Organization/ system level. This logic will be different for normal and NPA accounts. The basis of segregation is the mode used for payment – ” For standard assets”, “For NPAs” &amp; “For settlement accounts”. </t>
    </r>
  </si>
  <si>
    <t>TC_DHFL_PAL_01</t>
  </si>
  <si>
    <t>TC_DHFL_PAL_02</t>
  </si>
  <si>
    <t>TC_DHFL_PAL_03</t>
  </si>
  <si>
    <t>TC_DHFL_PAL_04</t>
  </si>
  <si>
    <r>
      <t>§</t>
    </r>
    <r>
      <rPr>
        <sz val="7"/>
        <color rgb="FF000000"/>
        <rFont val="Times New Roman"/>
        <family val="1"/>
      </rPr>
      <t xml:space="preserve">  </t>
    </r>
    <r>
      <rPr>
        <sz val="10"/>
        <color rgb="FF000000"/>
        <rFont val="Arial"/>
        <family val="2"/>
      </rPr>
      <t>TDS Payment Apportionment Logic to be applied. In case of short payment, TDS receivable to be generated for the entire amount even if there is short collection of interest since the same is happening at the time of payin slip generation event.</t>
    </r>
  </si>
  <si>
    <t>TC_DHFL_TDSTKR_05</t>
  </si>
  <si>
    <t xml:space="preserve">Charges will be apportioned based on the charge type and due date. </t>
  </si>
  <si>
    <t xml:space="preserve">Normal Accounts
 Payment apportion will be done “Due Date” wise for Interest and Principal Component first and thereafter “Transaction” wise for Charges. If 2 instalments are over-due then post payment, below will be the order for balances knock off –
o Firstly, interest and then principal of oldest instalment
o Secondly, interest and then principal of instalment after that and so on
o Once all the due interest and principal components are knocked off, then Charges, if any will be knocked off.
o Charges will be knocked off on FIFO basis, such that earliest booked charge will be knocked off first.
 In case received payment is short of dues, then dues will be knocked off as explained in the point above, and the remaining amount will be shown as overdue on the account.
 In case of excess payments, the excess amount will be parked in “Excess pool” after all the dues are knocked off.
</t>
  </si>
  <si>
    <t>NPA Accounts
 Payment apportion will be done “Due Date” wise for Principal and Interest Component first and thereafter “Transaction” wise for Charges. If 2 instalments are over-due then post payment, below will be the order for balances knock off –
o Firstly, principal and then interest of oldest instalment
o Secondly, principal and then interest of instalment after that and so on
o Once all the due principal and interest components are knocked off, then Charges, if any will be knocked off.
o Charges will be knocked off on FIFO basis, such that earliest booked charge will be knocked off first.
 In case received payment is short of dues, then dues will be knocked off as explained in the point above, and the remaining amount will be shown as overdue on the account.
 In case of excess payments, the excess amount will be parked in “Excess pool” after all the dues are knocked off.</t>
  </si>
  <si>
    <t xml:space="preserve">Settlement Accounts
 Payment apportion will be done “Due Date” wise for Principal and Interest Component first and thereafter “Transaction” wise for Charges. If 2 instalments are over-due then post payment, below will be the order for balances knock off –
o Firstly, all the principal dues will be knocked off
o Secondly all the interest dues will be knocked off
o Once all the due principal and interest components are knocked off, then Charges, if any will be knocked off.
o Charges will be knocked off on FIFO basis, such that earliest booked charge will be knocked off first.
 In case of excess payments, the excess amount will be parked in “Excess pool” after all the dues are knocked off.
</t>
  </si>
  <si>
    <t>4.10</t>
  </si>
  <si>
    <t>NPA and Provisioning Setup</t>
  </si>
  <si>
    <t xml:space="preserve">Asset classification can be defined at following levels - 
 Portfolio Level: If asset classification is done at portfolio level, then all the products under the portfolio will follow the same classification rules.
 Product Level: If asset classification is done at product level, then all the schemes under the product will follow the same classification rules. Product level asset classification set-up will supersede the portfolio level set-up.
</t>
  </si>
  <si>
    <t>TC_DHFL_NPS_01</t>
  </si>
  <si>
    <t>TC_DHFL_NPS_02</t>
  </si>
  <si>
    <t xml:space="preserve">For Teaser Loans
For teaser loans identified in LOS product master, NPA and Provisioning Master setup to be defined as follows in LMS -
Product - Teaser Loan Provisioning will be done for x% for period N+1
N will be derived from fixed period as defined under different products / schemes.
</t>
  </si>
  <si>
    <t xml:space="preserve">
TC_DHFL_NPS_03</t>
  </si>
  <si>
    <t>Modes of Payment</t>
  </si>
  <si>
    <t xml:space="preserve">The modes of payments are:
 PDC (for repayment)
 ECS (for repayment)
 NACH (for repayment)
 DD (for repayment)
For DRE 
 Cash
 DAS
 NEFT - Direct
 NEFT - Payment Gateway
 Debit Card - Payment Gateway
 RTGS
 Net Banking – Payment Gateway </t>
  </si>
  <si>
    <t>Covered in section 9.6</t>
  </si>
  <si>
    <t xml:space="preserve">Chart of Accounts </t>
  </si>
  <si>
    <t>Pending wit DHFL</t>
  </si>
  <si>
    <t>Insurance</t>
  </si>
  <si>
    <t>Insurance Amorts: for HL componenet, insurance amorts should be availabelt on view.</t>
  </si>
  <si>
    <t>TC_DHFL_NHB_24</t>
  </si>
  <si>
    <t>TC_DHFL_INSRCE_01</t>
  </si>
  <si>
    <t>TC_DHFL_INSRCE_02</t>
  </si>
  <si>
    <t>TC_DHFL_INSRCE_03</t>
  </si>
  <si>
    <t>TC_DHFL_INSRCE_04</t>
  </si>
  <si>
    <t>TC_DHFL_INSRCE_05</t>
  </si>
  <si>
    <t>Part of Interface</t>
  </si>
  <si>
    <t>TC_DHFL_INSRCE_07</t>
  </si>
  <si>
    <t>Insurance premium allocation to part prepayment / full prepayment</t>
  </si>
  <si>
    <t>TC_DHFL_INSRCE_06</t>
  </si>
  <si>
    <t>This is actually part of Interface</t>
  </si>
  <si>
    <t>Waiver Approval Matrix</t>
  </si>
  <si>
    <t>Bank Reconciliation</t>
  </si>
  <si>
    <t>User should be able to upload the bank statement in preconfigured template</t>
  </si>
  <si>
    <t>System should perform the reconciliation match and show the match results.</t>
  </si>
  <si>
    <t>User should be able to review the match results and mark them as unmatched if required.</t>
  </si>
  <si>
    <t>For unmatched records, user should be able to 
- manually match them, or,
- match them against 'dummy GL' code,</t>
  </si>
  <si>
    <t>Unmatch items from the last reconciliation should be considered in the current reconciliation process.</t>
  </si>
  <si>
    <t>Book to book transaction entries reconciliation: Transaction entries which are present in book but not in bank statement. Following are the events in which such entries arises – Loan cancellation, Disbursement cancellation, DRE reversal, Reversal of refund. System should identify such entries and mark them as reconciled against their contra entry (reversal or cancellation entries)</t>
  </si>
  <si>
    <t>Reconciliation Summary Report</t>
  </si>
  <si>
    <t>Reconciliation Details Report</t>
  </si>
  <si>
    <t>Report for reconciled and non-reconciled Bus</t>
  </si>
  <si>
    <t>Part Prepayment</t>
  </si>
  <si>
    <t xml:space="preserve">Part Prepayment charge should not be applied in following cases – 
 Part prepayment Request - NHB Subsidy / CLSS schemes
 Part Prepayment - Insurance Refund in loan cancellation
 Part Prepayment - Excess Amount Adjustment
 Part Prepayment - Excess Amount Adjustment from LC
 Part Prepayment – Excess Amount Adjustment -IMGC Fee Refund
</t>
  </si>
  <si>
    <t>TC_DHFL_PP11</t>
  </si>
  <si>
    <t>TC_DHFL_PP12</t>
  </si>
  <si>
    <t>TC_DHFL_PP28</t>
  </si>
  <si>
    <t>TC_DHFL_PP14</t>
  </si>
  <si>
    <t>Product Parameters: Part prepayment product parameters should be validated at the transaction level.</t>
  </si>
  <si>
    <t>TC_DHFL_PP20</t>
  </si>
  <si>
    <t>TC_DHFL_PP21</t>
  </si>
  <si>
    <t>TC_DHFL_PP22</t>
  </si>
  <si>
    <t>TC_DHFL_PP29</t>
  </si>
  <si>
    <t>TC_DHFL_PP30</t>
  </si>
  <si>
    <t>TC_DHFL_PP31</t>
  </si>
  <si>
    <t>TC_DHFL_PP32</t>
  </si>
  <si>
    <t>TC_DHFL_PP33</t>
  </si>
  <si>
    <t>TC_DHFL_PP34</t>
  </si>
  <si>
    <t>TC_DHFL_PP35</t>
  </si>
  <si>
    <t>TC_DHFL_PP36</t>
  </si>
  <si>
    <t>TC_DHFL_PP37</t>
  </si>
  <si>
    <t>TC_DHFL_PP38</t>
  </si>
  <si>
    <t>TC_DHFL_PP39</t>
  </si>
  <si>
    <t>TC_DHFL_PP40</t>
  </si>
  <si>
    <t>Part prepayment accounting entries should be passed as per the configuration and case.</t>
  </si>
  <si>
    <t>TC_DHFL_PP01</t>
  </si>
  <si>
    <t>TC_DHFL_PP02</t>
  </si>
  <si>
    <t>Loan account is rescheduled based on the new principal outstanding amount after applying for the prepayment in month end</t>
  </si>
  <si>
    <t>Audit trail on transaction history for the loan account is updated</t>
  </si>
  <si>
    <t>TC_DHFL_PP04</t>
  </si>
  <si>
    <t>TC_DHFL_PP05</t>
  </si>
  <si>
    <t>TC_DHFL_PP06</t>
  </si>
  <si>
    <t>TC_DHFL_PP08</t>
  </si>
  <si>
    <t>TC_DHFL_PP09</t>
  </si>
  <si>
    <t>TC_DHFL_PP10</t>
  </si>
  <si>
    <t>TC_DHFL_PP15</t>
  </si>
  <si>
    <t>TC_DHFL_PP17</t>
  </si>
  <si>
    <t>TC_DHFL_PP25</t>
  </si>
  <si>
    <t>TC_DHFL_PP26</t>
  </si>
  <si>
    <t>Part Prepayment Simulation</t>
  </si>
  <si>
    <t>TC_DHFL_PP19</t>
  </si>
  <si>
    <r>
      <t>186893</t>
    </r>
    <r>
      <rPr>
        <sz val="12"/>
        <color rgb="FF000000"/>
        <rFont val="Calibri"/>
        <family val="2"/>
        <scheme val="minor"/>
      </rPr>
      <t xml:space="preserve">, </t>
    </r>
    <r>
      <rPr>
        <strike/>
        <sz val="12"/>
        <color rgb="FF000000"/>
        <rFont val="Calibri"/>
        <family val="2"/>
        <scheme val="minor"/>
      </rPr>
      <t>187206,</t>
    </r>
    <r>
      <rPr>
        <sz val="12"/>
        <color rgb="FF000000"/>
        <rFont val="Calibri"/>
        <family val="2"/>
        <scheme val="minor"/>
      </rPr>
      <t xml:space="preserve">
</t>
    </r>
    <r>
      <rPr>
        <strike/>
        <sz val="12"/>
        <color rgb="FF000000"/>
        <rFont val="Calibri"/>
        <family val="2"/>
        <scheme val="minor"/>
      </rPr>
      <t>187591,
187816</t>
    </r>
    <r>
      <rPr>
        <sz val="12"/>
        <color rgb="FF000000"/>
        <rFont val="Calibri"/>
        <family val="2"/>
        <scheme val="minor"/>
      </rPr>
      <t xml:space="preserve">,
</t>
    </r>
    <r>
      <rPr>
        <strike/>
        <sz val="12"/>
        <color rgb="FF000000"/>
        <rFont val="Calibri"/>
        <family val="2"/>
        <scheme val="minor"/>
      </rPr>
      <t>188055</t>
    </r>
  </si>
  <si>
    <t>Part Prepayment cheque accepted will be credited to the account on date of cheque receipt and not on actual clearance (Deemed Clearance)</t>
  </si>
  <si>
    <t>Part Prepayment to be allowed on partly disbursed cases</t>
  </si>
  <si>
    <t xml:space="preserve">TC_DHFL_PP04
</t>
  </si>
  <si>
    <t>System will pass the accounting entries upon the authorization of the part prepayment request.</t>
  </si>
  <si>
    <t>Part Prepayment to be allowed during skip/ moratorium period</t>
  </si>
  <si>
    <t xml:space="preserve">Part Prepayment transaction should mandatorily cover all the overdues, and remaining should be apportioned towards future principal. </t>
  </si>
  <si>
    <t>TC_DHFL_PP07</t>
  </si>
  <si>
    <t>Option should be available to adjust or not to adjust excess amount available on the account</t>
  </si>
  <si>
    <t>TC_DHFL_PP41</t>
  </si>
  <si>
    <t>TC_DHFL_PP42</t>
  </si>
  <si>
    <t xml:space="preserve">Part Prepayment charge to be applied on principal paid portion only (after deducting Overdues, if any) and the same should be deducted from principal and remaining will be adjusted towards principal. </t>
  </si>
  <si>
    <t>The impact of Part Prepayment will be in month end only i.e. new Amort will be drawn in EOD of last date of the month</t>
  </si>
  <si>
    <t>If in next month cheque is bounced, then account should be rescheduled back to previous Amort and difference in due to be regenerated</t>
  </si>
  <si>
    <t>TC_DHFL_PP13</t>
  </si>
  <si>
    <t>Additional part pre-payment reason – “IMGC Fee Refund” – is required.</t>
  </si>
  <si>
    <t>In case of account is not fully disbursed and it is on PEMI then any change factor selected will only reduce principal and no rescheduling will happen</t>
  </si>
  <si>
    <t>No BPI applicable since impact of new schedule is from next month</t>
  </si>
  <si>
    <t>The repayment schedule is re plotted with the new factor that is changed</t>
  </si>
  <si>
    <t>Prepayment should be allowed within the batch creation days</t>
  </si>
  <si>
    <t>TC_DHFL_PP16</t>
  </si>
  <si>
    <t>For adjustment of FD amount, reason for part prepayment will be 'FD Maturity' and FD number will also be captured. The process will be as – 
o    At the time of FD maturity, customer will log a request to utilize maturity amount as pre-payment towards the loan. (outside the system).
o   CRM user will log a call based on the same (outside LMS).
o   Based on CRM receipting, the pre-payment request will be sent to LMS through interface.
o     In this case, reason for prepayment will be 'FD Maturity', and FD number passed from CRM to LMS needs be displayed in the LMS.</t>
  </si>
  <si>
    <t>Bulk upload option required for performing part prepayment on multiple accounts.</t>
  </si>
  <si>
    <t>TC_PPU_001 - TC_PPU_021</t>
  </si>
  <si>
    <t>Functionalities as required for account level Part Prepayment should also be available for Part Prepayment Simulation also. Print option to be available for simulated Amort</t>
  </si>
  <si>
    <t>TC_DHFL_PP23</t>
  </si>
  <si>
    <t>TC_DHFL_PP24</t>
  </si>
  <si>
    <t>Part Prepayment can also be made at customer level where the customer can come and make one single prepayment for all his accounts. Functionalities as required for account level Part Prepayment should also be available for customer level Part Prepayment.</t>
  </si>
  <si>
    <t>TC_DHFL_PP18</t>
  </si>
  <si>
    <t>Maker checker is applicable in case of part pre-payment.</t>
  </si>
  <si>
    <t>Full Prepayment</t>
  </si>
  <si>
    <t>Product Parameters: Full prepayment product parameters should be validated at the transaction level.</t>
  </si>
  <si>
    <t>TC_DHFL_FCL03</t>
  </si>
  <si>
    <t>Full prepayment accounting entries should be passed as per the configuration and case.</t>
  </si>
  <si>
    <t>TC_DHFL_FCL01</t>
  </si>
  <si>
    <t>Full Prepayment happening through instrument. Impact will be given on actual clearance. In case of Cash / DD only, it should be immediate</t>
  </si>
  <si>
    <t>TC_DHFL_FCL02</t>
  </si>
  <si>
    <t>§  No full prepayment will be initiated if any of the disbursement cheque is not cleared</t>
  </si>
  <si>
    <t>TC_DHFL_FCL34</t>
  </si>
  <si>
    <t>Source of Foreclosure will be passed on from CRM receipting module to LMS, and subsequently in LMS it will be verified whether full prepayment is allowed for the selected source of foreclosure.</t>
  </si>
  <si>
    <t>TC_DHFL_FCL16</t>
  </si>
  <si>
    <t>Full Prepayment should be allowed within the batch creation days</t>
  </si>
  <si>
    <t>TC_DHFL_FCL04</t>
  </si>
  <si>
    <t>Full Prepayment to be allowed on partly disbursed cases</t>
  </si>
  <si>
    <t>TC_DHFL_FCL05</t>
  </si>
  <si>
    <t>TC_DHFL_FCL06</t>
  </si>
  <si>
    <t>Full Prepayment to be allowed during skip/ moratorium period</t>
  </si>
  <si>
    <t>TC_DHFL_FCL07</t>
  </si>
  <si>
    <t>No BPI is applicable since interest is collected for full month in which full prepayment is performed.
Full Prepayment done on account on 25th March. X amount is calculated in which BPI is for entire month i.e. till 31st March. No dues will be generated on 1st April. If cheque is cleared next month on 5th April, then the payment will be applied. If cheque is bounced, then on 5th April due will be. generated for April and account will continue to function normally. DPD and Penal to be recalculated as on that date</t>
  </si>
  <si>
    <t>TC_DHFL_FCL08</t>
  </si>
  <si>
    <t xml:space="preserve">§  For adjustment of FD amount towards full prepayment, following will be the process - 
o   At the time of FD maturity, customer will log a request to utilize maturity amount as pre-payment towards the loan. (outside LMS).
o   CRM user will log a call based on the same (outside LMS).
o   Based on CRM receipting, the pre-payment request will be sent to LMS through interface.
o   In this case, reason for prepayment will be 'FD Maturity', and FD number passed from CRM to LMS needs be displayed in the LMS.
</t>
  </si>
  <si>
    <t>TC_DHFL_FCL09</t>
  </si>
  <si>
    <t>At the time of Full Prepayment transaction, advance EMI amount should be considered for deduction from total outstanding amount automatically. Once the transaction gets processed successfully, advance EMI amount will be moved to excess pool and thereafter payment application should happen</t>
  </si>
  <si>
    <t>TC_DHFL_FCL10</t>
  </si>
  <si>
    <t>Full prepayment amount calculation in Full Prepayment screen will be as - Overdues (Principal and interest) + Charges + Future Principal + Interest accrued but not due (to be capitalized) + TDS Receivable Amount + Interest till date of Full Prepayment Simulation + Additional interest of 7 days - Excess Pool – (Upfront Amount+ Advance amount).</t>
  </si>
  <si>
    <t>Reschedule</t>
  </si>
  <si>
    <t>Reschedule will be allowed at any time. No parameters required at product level.</t>
  </si>
  <si>
    <t>TC_DHFL_RS_13</t>
  </si>
  <si>
    <t xml:space="preserve">System level rescheduling to be done in following cases -
a) RPLR change for variable interest rate products
b) Change of interest rate type (mixed rate) from fixed to floating at account level. (in case of mixed loans)
c) Part Prepayment transaction
d) subsequent disbursement where account is on EMI
</t>
  </si>
  <si>
    <t>TC_DHFL_RS_14</t>
  </si>
  <si>
    <t>TC_DHFL_RS_19</t>
  </si>
  <si>
    <t>Change additional spread (i.e., Offset Rate). In case of variable interest rate type of loans, both negative and positive spread can be defined which will impact the interest rate of that loan account.</t>
  </si>
  <si>
    <t>TC_DHFL_RS_15</t>
  </si>
  <si>
    <r>
      <t>o</t>
    </r>
    <r>
      <rPr>
        <sz val="7"/>
        <color rgb="FF000000"/>
        <rFont val="Times New Roman"/>
        <family val="1"/>
      </rPr>
      <t xml:space="preserve">   </t>
    </r>
    <r>
      <rPr>
        <sz val="11"/>
        <color rgb="FF000000"/>
        <rFont val="Calibri"/>
        <family val="2"/>
      </rPr>
      <t>Change interest rate (in case of fixed interest rate type of loans). That is to change the value of ROI.</t>
    </r>
  </si>
  <si>
    <t>TC_DHFL_RS_16</t>
  </si>
  <si>
    <r>
      <t>o</t>
    </r>
    <r>
      <rPr>
        <sz val="7"/>
        <color rgb="FF000000"/>
        <rFont val="Times New Roman"/>
        <family val="1"/>
      </rPr>
      <t xml:space="preserve">   </t>
    </r>
    <r>
      <rPr>
        <sz val="11"/>
        <color rgb="FF000000"/>
        <rFont val="Calibri"/>
        <family val="2"/>
      </rPr>
      <t>Change installment</t>
    </r>
  </si>
  <si>
    <t>TC_DHFL_RS_02</t>
  </si>
  <si>
    <t>183544, 183284</t>
  </si>
  <si>
    <r>
      <t>o</t>
    </r>
    <r>
      <rPr>
        <sz val="7"/>
        <color rgb="FF000000"/>
        <rFont val="Times New Roman"/>
        <family val="1"/>
      </rPr>
      <t xml:space="preserve">   </t>
    </r>
    <r>
      <rPr>
        <sz val="11"/>
        <color rgb="FF000000"/>
        <rFont val="Calibri"/>
        <family val="2"/>
      </rPr>
      <t>Change tenor</t>
    </r>
  </si>
  <si>
    <t>TC_DHFL_RS_03</t>
  </si>
  <si>
    <r>
      <t>o</t>
    </r>
    <r>
      <rPr>
        <sz val="7"/>
        <color rgb="FF000000"/>
        <rFont val="Times New Roman"/>
        <family val="1"/>
      </rPr>
      <t xml:space="preserve">   </t>
    </r>
    <r>
      <rPr>
        <sz val="11"/>
        <color rgb="FF000000"/>
        <rFont val="Calibri"/>
        <family val="2"/>
      </rPr>
      <t>Change cycle date (no rescheduling to be done since no impact on due generation date but penal should be calculated on current dues based on new cycle date as well as DPD. For previous Overdues before new cycle date change, the calculation will be based on old cycle date)</t>
    </r>
  </si>
  <si>
    <t>TC_DHFL_RS_17</t>
  </si>
  <si>
    <r>
      <t>o</t>
    </r>
    <r>
      <rPr>
        <sz val="7"/>
        <color rgb="FF000000"/>
        <rFont val="Times New Roman"/>
        <family val="1"/>
      </rPr>
      <t xml:space="preserve">   </t>
    </r>
    <r>
      <rPr>
        <sz val="11"/>
        <color rgb="FF000000"/>
        <rFont val="Calibri"/>
        <family val="2"/>
      </rPr>
      <t>Change repayment frequency</t>
    </r>
  </si>
  <si>
    <t>TC_DHFL_RS_18</t>
  </si>
  <si>
    <r>
      <t>o</t>
    </r>
    <r>
      <rPr>
        <strike/>
        <sz val="7"/>
        <color rgb="FF000000"/>
        <rFont val="Calibri Light"/>
        <family val="2"/>
      </rPr>
      <t xml:space="preserve">   </t>
    </r>
    <r>
      <rPr>
        <strike/>
        <sz val="11"/>
        <color rgb="FF000000"/>
        <rFont val="Calibri Light"/>
        <family val="2"/>
      </rPr>
      <t>Change rest frequency</t>
    </r>
  </si>
  <si>
    <r>
      <t>o</t>
    </r>
    <r>
      <rPr>
        <sz val="7"/>
        <color rgb="FF000000"/>
        <rFont val="Times New Roman"/>
        <family val="1"/>
      </rPr>
      <t xml:space="preserve">   </t>
    </r>
    <r>
      <rPr>
        <sz val="11"/>
        <color rgb="FF000000"/>
        <rFont val="Calibri"/>
        <family val="2"/>
      </rPr>
      <t>Add repayment variations - Step up/ down, Skip and Balloon. Repayment variations allowed at product level will be available</t>
    </r>
  </si>
  <si>
    <r>
      <t>o</t>
    </r>
    <r>
      <rPr>
        <strike/>
        <sz val="7"/>
        <color rgb="FF000000"/>
        <rFont val="Calibri Light"/>
        <family val="2"/>
      </rPr>
      <t xml:space="preserve">   </t>
    </r>
    <r>
      <rPr>
        <strike/>
        <sz val="11"/>
        <color rgb="FF000000"/>
        <rFont val="Calibri Light"/>
        <family val="2"/>
      </rPr>
      <t>Change interest rate type – from fixed to variable, variable to fixed</t>
    </r>
  </si>
  <si>
    <r>
      <t>§</t>
    </r>
    <r>
      <rPr>
        <sz val="7"/>
        <color rgb="FF000000"/>
        <rFont val="Times New Roman"/>
        <family val="1"/>
      </rPr>
      <t xml:space="preserve">  </t>
    </r>
    <r>
      <rPr>
        <sz val="11"/>
        <color rgb="FF000000"/>
        <rFont val="Calibri"/>
        <family val="2"/>
      </rPr>
      <t>Maker Authorizer will be required for rescheduling.</t>
    </r>
  </si>
  <si>
    <t xml:space="preserve">TC_DHFL_RS_01
</t>
  </si>
  <si>
    <r>
      <t>§</t>
    </r>
    <r>
      <rPr>
        <sz val="7"/>
        <color rgb="FF000000"/>
        <rFont val="Times New Roman"/>
        <family val="1"/>
      </rPr>
      <t xml:space="preserve">  </t>
    </r>
    <r>
      <rPr>
        <sz val="11"/>
        <color rgb="FF000000"/>
        <rFont val="Calibri"/>
        <family val="2"/>
      </rPr>
      <t>Applicability of new terms to be done from next installment</t>
    </r>
  </si>
  <si>
    <r>
      <t>182195,</t>
    </r>
    <r>
      <rPr>
        <sz val="11"/>
        <color rgb="FF000000"/>
        <rFont val="Calibri"/>
        <family val="2"/>
        <scheme val="minor"/>
      </rPr>
      <t xml:space="preserve"> </t>
    </r>
    <r>
      <rPr>
        <strike/>
        <sz val="11"/>
        <color rgb="FF000000"/>
        <rFont val="Calibri"/>
        <family val="2"/>
        <scheme val="minor"/>
      </rPr>
      <t>183587</t>
    </r>
    <r>
      <rPr>
        <sz val="11"/>
        <color rgb="FF000000"/>
        <rFont val="Calibri"/>
        <family val="2"/>
        <scheme val="minor"/>
      </rPr>
      <t xml:space="preserve"> 
 , </t>
    </r>
    <r>
      <rPr>
        <strike/>
        <sz val="11"/>
        <color rgb="FF000000"/>
        <rFont val="Calibri"/>
        <family val="2"/>
        <scheme val="minor"/>
      </rPr>
      <t>188326</t>
    </r>
  </si>
  <si>
    <r>
      <t>§</t>
    </r>
    <r>
      <rPr>
        <sz val="7"/>
        <color rgb="FF000000"/>
        <rFont val="Times New Roman"/>
        <family val="1"/>
      </rPr>
      <t xml:space="preserve">  </t>
    </r>
    <r>
      <rPr>
        <sz val="11"/>
        <color rgb="FF000000"/>
        <rFont val="Calibri"/>
        <family val="2"/>
      </rPr>
      <t>No BPI applicable since impact of new schedule from next month</t>
    </r>
  </si>
  <si>
    <r>
      <t>§</t>
    </r>
    <r>
      <rPr>
        <sz val="7"/>
        <color rgb="FF000000"/>
        <rFont val="Times New Roman"/>
        <family val="1"/>
      </rPr>
      <t xml:space="preserve">  </t>
    </r>
    <r>
      <rPr>
        <sz val="11"/>
        <color rgb="FF000000"/>
        <rFont val="Calibri"/>
        <family val="2"/>
      </rPr>
      <t>Reschedule charges, if any will be levied for the loan account</t>
    </r>
  </si>
  <si>
    <r>
      <t>§</t>
    </r>
    <r>
      <rPr>
        <sz val="7"/>
        <color rgb="FF000000"/>
        <rFont val="Times New Roman"/>
        <family val="1"/>
      </rPr>
      <t xml:space="preserve">  </t>
    </r>
    <r>
      <rPr>
        <sz val="11"/>
        <color rgb="FF000000"/>
        <rFont val="Calibri"/>
        <family val="2"/>
      </rPr>
      <t>In case of option selected during reschedule is “Change instalment”, all the previous payment variations will no longer be applicable. A new schedule will be generated with a regular equal monthly installment with the new amount</t>
    </r>
  </si>
  <si>
    <r>
      <t>§</t>
    </r>
    <r>
      <rPr>
        <sz val="7"/>
        <color rgb="FF000000"/>
        <rFont val="Times New Roman"/>
        <family val="1"/>
      </rPr>
      <t xml:space="preserve">  </t>
    </r>
    <r>
      <rPr>
        <sz val="11"/>
        <color rgb="FF000000"/>
        <rFont val="Calibri"/>
        <family val="2"/>
      </rPr>
      <t>Rescheduling to be allowed during skip/moratorium period</t>
    </r>
  </si>
  <si>
    <r>
      <t>§</t>
    </r>
    <r>
      <rPr>
        <sz val="7"/>
        <color rgb="FF000000"/>
        <rFont val="Times New Roman"/>
        <family val="1"/>
      </rPr>
      <t xml:space="preserve">  </t>
    </r>
    <r>
      <rPr>
        <sz val="11"/>
        <color rgb="FF000000"/>
        <rFont val="Calibri"/>
        <family val="2"/>
      </rPr>
      <t>Rescheduling to be allowed on normal accounts with and without Overdues. In case of with Overdues, Overdues to be carried forward.</t>
    </r>
  </si>
  <si>
    <r>
      <t>§</t>
    </r>
    <r>
      <rPr>
        <sz val="7"/>
        <color rgb="FF000000"/>
        <rFont val="Times New Roman"/>
        <family val="1"/>
      </rPr>
      <t xml:space="preserve">  </t>
    </r>
    <r>
      <rPr>
        <sz val="12"/>
        <color rgb="FF000000"/>
        <rFont val="Calibri"/>
        <family val="2"/>
      </rPr>
      <t>Impact of reschedule to be provided in EOD of last date of the month on the account and new Amort will be drawn by the system which will be visible from next month 1</t>
    </r>
    <r>
      <rPr>
        <vertAlign val="superscript"/>
        <sz val="12"/>
        <color rgb="FF000000"/>
        <rFont val="Calibri"/>
        <family val="2"/>
      </rPr>
      <t>st</t>
    </r>
  </si>
  <si>
    <r>
      <t>§</t>
    </r>
    <r>
      <rPr>
        <sz val="7"/>
        <color rgb="FF000000"/>
        <rFont val="Times New Roman"/>
        <family val="1"/>
      </rPr>
      <t xml:space="preserve">  </t>
    </r>
    <r>
      <rPr>
        <sz val="12"/>
        <color rgb="FF000000"/>
        <rFont val="Calibri"/>
        <family val="2"/>
      </rPr>
      <t>Transactions to be allowed between reschedule request date and EOM – Part pre-payment, Full pre-payment, &amp; settlement. Although if user initiates the settlement process, then the reschedule request should stand cancelled as on settlement account, no transactions should be passed. Approach to be followed: Cancel reschedule request and perform PP, FP and Settlement transactions.</t>
    </r>
  </si>
  <si>
    <t>TC_DHFL_RS_04</t>
  </si>
  <si>
    <r>
      <t xml:space="preserve">182210, </t>
    </r>
    <r>
      <rPr>
        <sz val="11"/>
        <color rgb="FF000000"/>
        <rFont val="Calibri"/>
        <family val="2"/>
        <scheme val="minor"/>
      </rPr>
      <t xml:space="preserve"> </t>
    </r>
    <r>
      <rPr>
        <strike/>
        <sz val="11"/>
        <color rgb="FF000000"/>
        <rFont val="Calibri"/>
        <family val="2"/>
        <scheme val="minor"/>
      </rPr>
      <t>183654
186287</t>
    </r>
    <r>
      <rPr>
        <sz val="11"/>
        <color rgb="FF000000"/>
        <rFont val="Calibri"/>
        <family val="2"/>
        <scheme val="minor"/>
      </rPr>
      <t xml:space="preserve"> </t>
    </r>
  </si>
  <si>
    <t>TC_DHFL_RS_05</t>
  </si>
  <si>
    <r>
      <t>182195, 183284,</t>
    </r>
    <r>
      <rPr>
        <sz val="11"/>
        <color rgb="FF000000"/>
        <rFont val="Calibri"/>
        <family val="2"/>
        <scheme val="minor"/>
      </rPr>
      <t xml:space="preserve"> </t>
    </r>
    <r>
      <rPr>
        <strike/>
        <sz val="11"/>
        <color rgb="FF000000"/>
        <rFont val="Calibri"/>
        <family val="2"/>
        <scheme val="minor"/>
      </rPr>
      <t>183654
186287</t>
    </r>
    <r>
      <rPr>
        <sz val="11"/>
        <color rgb="FF000000"/>
        <rFont val="Calibri"/>
        <family val="2"/>
        <scheme val="minor"/>
      </rPr>
      <t xml:space="preserve"> </t>
    </r>
  </si>
  <si>
    <t>TC_DHFL_RS_06</t>
  </si>
  <si>
    <r>
      <t xml:space="preserve">182195, </t>
    </r>
    <r>
      <rPr>
        <sz val="11"/>
        <color rgb="FF000000"/>
        <rFont val="Calibri"/>
        <family val="2"/>
        <scheme val="minor"/>
      </rPr>
      <t xml:space="preserve"> </t>
    </r>
    <r>
      <rPr>
        <strike/>
        <sz val="11"/>
        <color rgb="FF000000"/>
        <rFont val="Calibri"/>
        <family val="2"/>
        <scheme val="minor"/>
      </rPr>
      <t>183654
186287</t>
    </r>
    <r>
      <rPr>
        <sz val="11"/>
        <color rgb="FF000000"/>
        <rFont val="Calibri"/>
        <family val="2"/>
        <scheme val="minor"/>
      </rPr>
      <t xml:space="preserve"> </t>
    </r>
  </si>
  <si>
    <r>
      <t>§</t>
    </r>
    <r>
      <rPr>
        <sz val="7"/>
        <color rgb="FF000000"/>
        <rFont val="Times New Roman"/>
        <family val="1"/>
      </rPr>
      <t xml:space="preserve">  </t>
    </r>
    <r>
      <rPr>
        <sz val="12"/>
        <color rgb="FF000000"/>
        <rFont val="Calibri"/>
        <family val="2"/>
      </rPr>
      <t>Reschedule request cancellation before EOM to be available in system if any transaction is required to be done. If request is not cancelled, then system will not allow any other transaction</t>
    </r>
  </si>
  <si>
    <t>TC_DHFL_RS_07</t>
  </si>
  <si>
    <t>182195, 183731</t>
  </si>
  <si>
    <r>
      <t>§</t>
    </r>
    <r>
      <rPr>
        <sz val="7"/>
        <color rgb="FF000000"/>
        <rFont val="Times New Roman"/>
        <family val="1"/>
      </rPr>
      <t xml:space="preserve">  </t>
    </r>
    <r>
      <rPr>
        <sz val="12"/>
        <color rgb="FF000000"/>
        <rFont val="Calibri"/>
        <family val="2"/>
      </rPr>
      <t xml:space="preserve">Details of applicable charges pertaining to the rescheduling, to be captured during reschedule request in CRM receipting module. Further these details are to be passed on to the LMS through interface. </t>
    </r>
  </si>
  <si>
    <r>
      <t>§</t>
    </r>
    <r>
      <rPr>
        <sz val="7"/>
        <color rgb="FF000000"/>
        <rFont val="Times New Roman"/>
        <family val="1"/>
      </rPr>
      <t xml:space="preserve">  </t>
    </r>
    <r>
      <rPr>
        <sz val="12"/>
        <color rgb="FF000000"/>
        <rFont val="Calibri"/>
        <family val="2"/>
      </rPr>
      <t>Reschedule not allowed if Part Prepayment cheque is not cleared</t>
    </r>
  </si>
  <si>
    <t>TC_DHFL_RS_09</t>
  </si>
  <si>
    <t xml:space="preserve">183750  
183762
</t>
  </si>
  <si>
    <r>
      <t>§</t>
    </r>
    <r>
      <rPr>
        <sz val="7"/>
        <color rgb="FF000000"/>
        <rFont val="Times New Roman"/>
        <family val="1"/>
      </rPr>
      <t xml:space="preserve">  </t>
    </r>
    <r>
      <rPr>
        <sz val="12"/>
        <color rgb="FF000000"/>
        <rFont val="Calibri"/>
        <family val="2"/>
      </rPr>
      <t>Reschedule not allowed for partially disbursed cases with PEMI but allowed on EMI cases</t>
    </r>
  </si>
  <si>
    <t>TC_DHFL_RS_08</t>
  </si>
  <si>
    <r>
      <t>§</t>
    </r>
    <r>
      <rPr>
        <sz val="7"/>
        <color rgb="FF000000"/>
        <rFont val="Times New Roman"/>
        <family val="1"/>
      </rPr>
      <t xml:space="preserve">  </t>
    </r>
    <r>
      <rPr>
        <sz val="12"/>
        <color rgb="FF000000"/>
        <rFont val="Calibri"/>
        <family val="2"/>
      </rPr>
      <t>In case of charges are collected during reschedule through cheque, impact is to be given on deemed clearance. If cheque bounces, reschedule if happened on account after month end where Amort was changed should result in reversal of reschedule and no charges to be made due. Dues generated to be also reversed and new dues to be generated based on new schedule</t>
    </r>
  </si>
  <si>
    <t>TC_DHFL_RS_10</t>
  </si>
  <si>
    <r>
      <t xml:space="preserve">183746, 183762, </t>
    </r>
    <r>
      <rPr>
        <strike/>
        <sz val="11"/>
        <color rgb="FF000000"/>
        <rFont val="Calibri"/>
        <family val="2"/>
        <scheme val="minor"/>
      </rPr>
      <t>182195, 183544</t>
    </r>
  </si>
  <si>
    <t>Bulk upload option required for performing reschedule on multiple accounts without repayment variations</t>
  </si>
  <si>
    <t>TC_DHFL_BLK_RES_01</t>
  </si>
  <si>
    <t>Restructure</t>
  </si>
  <si>
    <t>Restructure to be allowed only for NPA Cases</t>
  </si>
  <si>
    <t>TC_DHFL_RR10</t>
  </si>
  <si>
    <r>
      <t>§</t>
    </r>
    <r>
      <rPr>
        <sz val="7"/>
        <color rgb="FF000000"/>
        <rFont val="Times New Roman"/>
        <family val="1"/>
      </rPr>
      <t xml:space="preserve">  </t>
    </r>
    <r>
      <rPr>
        <sz val="11"/>
        <color rgb="FF000000"/>
        <rFont val="Calibri"/>
        <family val="2"/>
      </rPr>
      <t xml:space="preserve">Restructure allowed with following options -
o   Change additional spread (in case of variable interest rate type of loans, both negative and positive spread can be defined which will impact the interest rate of that loan account),
o   Change interest rate (in case of fixed interest rate type of loans).
o   Change instalment.
o   Change tenor.
o   Change cycle date (no rescheduling to be done since no impact on due generation date but penal should be calculated on current dues based on new cycle date as well as DPD. For previous Overdues before new cycle date change, the calculation will be based on old cycle date).
o   Change repayment frequency.
</t>
    </r>
    <r>
      <rPr>
        <strike/>
        <sz val="11"/>
        <color rgb="FF000000"/>
        <rFont val="Calibri"/>
        <family val="2"/>
      </rPr>
      <t>o   Change rest frequency</t>
    </r>
    <r>
      <rPr>
        <sz val="11"/>
        <color rgb="FF000000"/>
        <rFont val="Calibri"/>
        <family val="2"/>
      </rPr>
      <t xml:space="preserve">
o   Add repayment variations - Step up/ down, Skip and Balloon. Repayment variations allowed at product level will be available.
o   Change interest rate type – from fixed to variable, variable to fixed</t>
    </r>
  </si>
  <si>
    <t>TC_DHFL_RR23</t>
  </si>
  <si>
    <t>TC_DHFL_RR24</t>
  </si>
  <si>
    <t>TC_DHFL_RR25</t>
  </si>
  <si>
    <t>TC_DHFL_RR26</t>
  </si>
  <si>
    <t>TC_DHFL_RR27</t>
  </si>
  <si>
    <t>TC_DHFL_RR28</t>
  </si>
  <si>
    <t>TC_DHFL_RR29</t>
  </si>
  <si>
    <t>TC_DHFL_RR30</t>
  </si>
  <si>
    <t>TC_DHFL_RR31</t>
  </si>
  <si>
    <r>
      <t>§</t>
    </r>
    <r>
      <rPr>
        <sz val="7"/>
        <color rgb="FF000000"/>
        <rFont val="Times New Roman"/>
        <family val="1"/>
      </rPr>
      <t xml:space="preserve">  </t>
    </r>
    <r>
      <rPr>
        <sz val="11"/>
        <color rgb="FF000000"/>
        <rFont val="Calibri"/>
        <family val="2"/>
      </rPr>
      <t>Restructure to be allowed multiple times during life cycle of loan</t>
    </r>
  </si>
  <si>
    <r>
      <t>§</t>
    </r>
    <r>
      <rPr>
        <sz val="7"/>
        <color rgb="FF000000"/>
        <rFont val="Times New Roman"/>
        <family val="1"/>
      </rPr>
      <t xml:space="preserve">  </t>
    </r>
    <r>
      <rPr>
        <sz val="11"/>
        <color rgb="FF000000"/>
        <rFont val="Calibri"/>
        <family val="2"/>
      </rPr>
      <t>Restructure not allowed for partially disbursed cases with PEMI but allowed on EMI cases</t>
    </r>
  </si>
  <si>
    <r>
      <t>§</t>
    </r>
    <r>
      <rPr>
        <sz val="7"/>
        <color rgb="FF000000"/>
        <rFont val="Times New Roman"/>
        <family val="1"/>
      </rPr>
      <t xml:space="preserve">  </t>
    </r>
    <r>
      <rPr>
        <sz val="11"/>
        <color rgb="FF000000"/>
        <rFont val="Calibri"/>
        <family val="2"/>
      </rPr>
      <t>Restructure not allowed where Product Change/ Prepayment/ Settlement request is pending</t>
    </r>
  </si>
  <si>
    <t>TC_DHFL_RR07</t>
  </si>
  <si>
    <r>
      <t>§</t>
    </r>
    <r>
      <rPr>
        <sz val="7"/>
        <color rgb="FF000000"/>
        <rFont val="Times New Roman"/>
        <family val="1"/>
      </rPr>
      <t xml:space="preserve">  </t>
    </r>
    <r>
      <rPr>
        <sz val="11"/>
        <color rgb="FF000000"/>
        <rFont val="Calibri"/>
        <family val="2"/>
      </rPr>
      <t>Restructure impact happens on account after clearance of cheque given in Restructure DRE</t>
    </r>
  </si>
  <si>
    <t>185967
187911</t>
  </si>
  <si>
    <r>
      <t>§</t>
    </r>
    <r>
      <rPr>
        <sz val="7"/>
        <color rgb="FF000000"/>
        <rFont val="Times New Roman"/>
        <family val="1"/>
      </rPr>
      <t xml:space="preserve">  </t>
    </r>
    <r>
      <rPr>
        <sz val="12"/>
        <color rgb="FF000000"/>
        <rFont val="Calibri"/>
        <family val="2"/>
      </rPr>
      <t>If cheque bounces, restructure if happened on account after month end where Amort was changed should result in reversal of reschedule. Dues generated to be also reversed and new dues to be generated based on new schedule</t>
    </r>
  </si>
  <si>
    <t>TC_DHFL_RR06</t>
  </si>
  <si>
    <r>
      <t>§</t>
    </r>
    <r>
      <rPr>
        <sz val="7"/>
        <color rgb="FF000000"/>
        <rFont val="Times New Roman"/>
        <family val="1"/>
      </rPr>
      <t xml:space="preserve">  </t>
    </r>
    <r>
      <rPr>
        <sz val="11"/>
        <color rgb="FF000000"/>
        <rFont val="Calibri"/>
        <family val="2"/>
      </rPr>
      <t>Restructure charges, if any will be levied for the loan account</t>
    </r>
  </si>
  <si>
    <t>TC_DHFL_RR08</t>
  </si>
  <si>
    <r>
      <t>§</t>
    </r>
    <r>
      <rPr>
        <sz val="7"/>
        <color rgb="FF000000"/>
        <rFont val="Times New Roman"/>
        <family val="1"/>
      </rPr>
      <t xml:space="preserve">  </t>
    </r>
    <r>
      <rPr>
        <sz val="11"/>
        <color rgb="FF000000"/>
        <rFont val="Calibri"/>
        <family val="2"/>
      </rPr>
      <t>In case of option selected during restructure is “Change instalment”, all the previous payment variations will no longer be applicable. A new schedule will be generated with a regular equal monthly installment with the new amount</t>
    </r>
  </si>
  <si>
    <t>TC_DHFL_RR09</t>
  </si>
  <si>
    <r>
      <t>§</t>
    </r>
    <r>
      <rPr>
        <sz val="7"/>
        <color rgb="FF000000"/>
        <rFont val="Times New Roman"/>
        <family val="1"/>
      </rPr>
      <t xml:space="preserve">  </t>
    </r>
    <r>
      <rPr>
        <sz val="11"/>
        <color rgb="FF000000"/>
        <rFont val="Calibri"/>
        <family val="2"/>
      </rPr>
      <t>Post restructuring request, no system level or user level transactions to be allowed till request gets approved.</t>
    </r>
  </si>
  <si>
    <t>TC_DHFL_RR11 to TC_DHFL_RR20</t>
  </si>
  <si>
    <r>
      <t>§</t>
    </r>
    <r>
      <rPr>
        <sz val="7"/>
        <color rgb="FF000000"/>
        <rFont val="Times New Roman"/>
        <family val="1"/>
      </rPr>
      <t xml:space="preserve">  </t>
    </r>
    <r>
      <rPr>
        <sz val="11"/>
        <color rgb="FF000000"/>
        <rFont val="Calibri"/>
        <family val="2"/>
      </rPr>
      <t>Option to capitalize the overdues (interest, principal, and/or charges) during restructure</t>
    </r>
  </si>
  <si>
    <t>TC_DHFL_RR21</t>
  </si>
  <si>
    <r>
      <t>§</t>
    </r>
    <r>
      <rPr>
        <sz val="7"/>
        <color rgb="FF000000"/>
        <rFont val="Times New Roman"/>
        <family val="1"/>
      </rPr>
      <t xml:space="preserve">  </t>
    </r>
    <r>
      <rPr>
        <sz val="11"/>
        <color rgb="FF000000"/>
        <rFont val="Calibri"/>
        <family val="2"/>
      </rPr>
      <t>Option to waive/ write-off the overdues and some principal portion during restructure.</t>
    </r>
  </si>
  <si>
    <t>TC_DHFL_RR22</t>
  </si>
  <si>
    <t>Worklist</t>
  </si>
  <si>
    <t>User should be able to search the account using Lead ID</t>
  </si>
  <si>
    <t>TC_DHFL_AO01</t>
  </si>
  <si>
    <t>Checker/Authorizer activities should come to appropriated worklist.</t>
  </si>
  <si>
    <t>User should be able to cancel the request. User should be able to provide cancel reason</t>
  </si>
  <si>
    <t>Cancelled requests should be available to view in declined/cancelled worklist alongwith the reason</t>
  </si>
  <si>
    <t>Modes of payment - E-Payment</t>
  </si>
  <si>
    <t>Next due date and end due date to be renamed as Next cycle date &amp; End cycle date</t>
  </si>
  <si>
    <t>TC_DHFL_EPAY_07</t>
  </si>
  <si>
    <t>Max ceiling amount should be default populated as 200% (twice) of max installment amount.</t>
  </si>
  <si>
    <t>TC_DHFL_EPAY_06</t>
  </si>
  <si>
    <t>Banks which are used for repayment (flag as yes) should be displayed as pop search in E-Payment screen with MICR/ IFSC to be displayed along with bank and branch name and if only 1 bank is used for repayment then same should be displayed by default.</t>
  </si>
  <si>
    <t>TC_DHFL_EPAY_08</t>
  </si>
  <si>
    <t xml:space="preserve"> ‘Until cancelled’ field is required which will be a checkbox field. If user checks this box then ‘Till date’ field should be disabled. And if user has provided ‘Till Date’ field then user should not be able to check ‘until cancelled’ checkbox.</t>
  </si>
  <si>
    <t>TC_DHFL_EPAY_05</t>
  </si>
  <si>
    <t>By Default, system should populate with until cancelled flag as checked.</t>
  </si>
  <si>
    <t>In case of ‘Indian Bank’ and ‘Indian Overseas Bank’, system should through a warning message that - "User should provide till Date should come as loan tenor end date".</t>
  </si>
  <si>
    <t>TC_DHFL_EPAY_09</t>
  </si>
  <si>
    <t>UMRN and Scheme reference number should be made not mandatory on screen.</t>
  </si>
  <si>
    <t>TC_DHFL_EPAY_02</t>
  </si>
  <si>
    <t>Remarks field is required on epayment configuration screen.</t>
  </si>
  <si>
    <t>TC_DHFL_EPAY_13</t>
  </si>
  <si>
    <t>Frequency code and Category code is to be removed from the screen since the same is not required by DHFL.</t>
  </si>
  <si>
    <t>TC_DHFL_EPAY_01</t>
  </si>
  <si>
    <t>Other fields as required on E-payment screen - Courier name, POD (Proof of Delivery) No., Dispatch Date, Status of Receipt, Received Date.</t>
  </si>
  <si>
    <t>TC_DHFL_EPAYM_01</t>
  </si>
  <si>
    <t>Mandate type to be always defaulted to variable.</t>
  </si>
  <si>
    <t>TC_DHFL_EPAY_14</t>
  </si>
  <si>
    <t>E-Payment mode should be non-mandatory. E-Payment mode can be tagged later at mandate entry.</t>
  </si>
  <si>
    <t>Following Additional Mandate status are required - Received and Reject (with reason), Hold (this will change if mandate is put on hold), Active, Deactive, Expired, Not Registered.</t>
  </si>
  <si>
    <t>Mandate to be printed from E Payment screen. Formats regarding the same are as – DHFL Full ECS form, AHFL full ECS Form.</t>
  </si>
  <si>
    <t>TC_DHFL_EPAY_03</t>
  </si>
  <si>
    <r>
      <t>186826</t>
    </r>
    <r>
      <rPr>
        <sz val="11"/>
        <color rgb="FF000000"/>
        <rFont val="Calibri"/>
        <family val="2"/>
        <scheme val="minor"/>
      </rPr>
      <t>, 186839</t>
    </r>
  </si>
  <si>
    <t xml:space="preserve">E-Payment Hold - Date field to be made non-mandatory and only hold flag to be provided with reason.
</t>
  </si>
  <si>
    <t>TC_DHFL_EPAY_10</t>
  </si>
  <si>
    <t>Bulk Status Upload Screen
- This screen will be used to download &amp; correspondingly upload the status pertaining to the mandates.
- Templates for download and upload should be as provided. Common template for DHFL &amp; AHFL.
- Date field to be made non-mandatory and only hold flag to be provided with reason.</t>
  </si>
  <si>
    <t>TC_DHFL_EPAYM_13</t>
  </si>
  <si>
    <t>Statius Need to be Updated in PA Test cases</t>
  </si>
  <si>
    <t>TC_DHFL_EPAYM_14</t>
  </si>
  <si>
    <t>TC_DHFL_EPAYM_15</t>
  </si>
  <si>
    <t>TC_DHFL_EPAYM_16</t>
  </si>
  <si>
    <t>TC_DHFL_EPAYM_17</t>
  </si>
  <si>
    <t>Only one active mandate request can be submitted at any given point in time</t>
  </si>
  <si>
    <t>Mandate is always agreed for a specific amount or there is a cap on the amount which can be requested through mandate</t>
  </si>
  <si>
    <t>Each loan account needs to have a mandate set up if the mode of repayment for the loan is ECS/ NACH/ DD.</t>
  </si>
  <si>
    <t>Reports/Templated will be generated in pdf format.</t>
  </si>
  <si>
    <t>TC_DHFL_EPAY_11</t>
  </si>
  <si>
    <t>6.1.1</t>
  </si>
  <si>
    <t>Mandate Registration</t>
  </si>
  <si>
    <t>Mandate registration process for - DD, ECS, NACH</t>
  </si>
  <si>
    <r>
      <t>§</t>
    </r>
    <r>
      <rPr>
        <sz val="7"/>
        <color rgb="FF000000"/>
        <rFont val="Times New Roman"/>
        <family val="1"/>
      </rPr>
      <t xml:space="preserve">  </t>
    </r>
    <r>
      <rPr>
        <sz val="12"/>
        <color rgb="FF000000"/>
        <rFont val="Calibri"/>
        <family val="2"/>
      </rPr>
      <t>In case of NACH/ DD, Registered mandates to be presented for presentation</t>
    </r>
  </si>
  <si>
    <t>TC_DHFL_INSTRUMENT_PROCESS_04
NACH</t>
  </si>
  <si>
    <r>
      <t>§</t>
    </r>
    <r>
      <rPr>
        <sz val="7"/>
        <color rgb="FF000000"/>
        <rFont val="Times New Roman"/>
        <family val="1"/>
      </rPr>
      <t xml:space="preserve">  </t>
    </r>
    <r>
      <rPr>
        <sz val="12"/>
        <color rgb="FF000000"/>
        <rFont val="Calibri"/>
        <family val="2"/>
      </rPr>
      <t>In case of ECS, Deemed Activated and Registered ECS to be presented for presentation</t>
    </r>
  </si>
  <si>
    <t>TC_DHFL_EPAYM_07</t>
  </si>
  <si>
    <r>
      <t>§</t>
    </r>
    <r>
      <rPr>
        <sz val="7"/>
        <color rgb="FF000000"/>
        <rFont val="Times New Roman"/>
        <family val="1"/>
      </rPr>
      <t xml:space="preserve">  </t>
    </r>
    <r>
      <rPr>
        <sz val="12"/>
        <color rgb="FF000000"/>
        <rFont val="Calibri"/>
        <family val="2"/>
      </rPr>
      <t>Once mandate is registered/ deemed activated, repayment mode will be changed to ECS, NACH and DD</t>
    </r>
  </si>
  <si>
    <t>Download and Upload files for Mandate Registration will be configurable through ‘File Configurator’ screen</t>
  </si>
  <si>
    <t>Modes of Payment - PDC</t>
  </si>
  <si>
    <r>
      <t>§</t>
    </r>
    <r>
      <rPr>
        <sz val="7"/>
        <color rgb="FF000000"/>
        <rFont val="Times New Roman"/>
        <family val="1"/>
      </rPr>
      <t xml:space="preserve">  </t>
    </r>
    <r>
      <rPr>
        <sz val="12"/>
        <color rgb="FF000000"/>
        <rFont val="Calibri"/>
        <family val="2"/>
      </rPr>
      <t>MICR/IFSC Code will be entered before the bank name. Bank name and branch will be populated based on the MICR/IFSC</t>
    </r>
  </si>
  <si>
    <t>TC_DHFL_PDC_34</t>
  </si>
  <si>
    <r>
      <t>§</t>
    </r>
    <r>
      <rPr>
        <sz val="7"/>
        <color rgb="FF000000"/>
        <rFont val="Times New Roman"/>
        <family val="1"/>
      </rPr>
      <t xml:space="preserve">  </t>
    </r>
    <r>
      <rPr>
        <sz val="12"/>
        <color rgb="FF000000"/>
        <rFont val="Calibri"/>
        <family val="2"/>
      </rPr>
      <t>Applicable Bank account types provided as below -
Savings, Current/OD, Cash Credit, NRE, NRO, Escrow Account.</t>
    </r>
  </si>
  <si>
    <t>TC_DHFL_PDC_03</t>
  </si>
  <si>
    <r>
      <t>§</t>
    </r>
    <r>
      <rPr>
        <sz val="7"/>
        <color rgb="FF000000"/>
        <rFont val="Times New Roman"/>
        <family val="1"/>
      </rPr>
      <t xml:space="preserve">  </t>
    </r>
    <r>
      <rPr>
        <sz val="12"/>
        <color rgb="FF000000"/>
        <rFont val="Calibri"/>
        <family val="2"/>
      </rPr>
      <t>As per the PDCs submitted by customer, the details are entered in PDC Setup. The user will tag it as Branch Banking.</t>
    </r>
  </si>
  <si>
    <t>TC_DHFL_PDC_05</t>
  </si>
  <si>
    <r>
      <t>§</t>
    </r>
    <r>
      <rPr>
        <strike/>
        <sz val="7"/>
        <color rgb="FF000000"/>
        <rFont val="Calibri Light"/>
        <family val="2"/>
      </rPr>
      <t xml:space="preserve">  </t>
    </r>
    <r>
      <rPr>
        <strike/>
        <sz val="12"/>
        <color rgb="FF000000"/>
        <rFont val="Calibri Light"/>
        <family val="2"/>
      </rPr>
      <t>Ops user will update the dispatch status as sent.</t>
    </r>
  </si>
  <si>
    <r>
      <t>§</t>
    </r>
    <r>
      <rPr>
        <strike/>
        <sz val="7"/>
        <color rgb="FF000000"/>
        <rFont val="Calibri Light"/>
        <family val="2"/>
      </rPr>
      <t xml:space="preserve">  </t>
    </r>
    <r>
      <rPr>
        <strike/>
        <sz val="12"/>
        <color rgb="FF000000"/>
        <rFont val="Calibri Light"/>
        <family val="2"/>
      </rPr>
      <t>Ops user at HO will then update the dispatch status as received, and further the tag it as Central Banking</t>
    </r>
  </si>
  <si>
    <r>
      <t>§</t>
    </r>
    <r>
      <rPr>
        <strike/>
        <sz val="7"/>
        <color rgb="FF000000"/>
        <rFont val="Calibri Light"/>
        <family val="2"/>
      </rPr>
      <t xml:space="preserve">  </t>
    </r>
    <r>
      <rPr>
        <strike/>
        <sz val="12"/>
        <color rgb="FF000000"/>
        <rFont val="Calibri Light"/>
        <family val="2"/>
      </rPr>
      <t>Following additional fields are required on PDC entry screen to capture the dispatch and received status - Courier name, POD (Proof of Delivery) No., Dispatch Date, Status of Receipt, Received Date,</t>
    </r>
  </si>
  <si>
    <r>
      <t>§</t>
    </r>
    <r>
      <rPr>
        <sz val="7"/>
        <color rgb="FF000000"/>
        <rFont val="Times New Roman"/>
        <family val="1"/>
      </rPr>
      <t xml:space="preserve">  </t>
    </r>
    <r>
      <rPr>
        <sz val="12"/>
        <color rgb="FF000000"/>
        <rFont val="Calibri"/>
        <family val="2"/>
      </rPr>
      <t>Single PDC can be used against multiple loans with same cycle date.</t>
    </r>
  </si>
  <si>
    <t>TC_DHFL_PDC_26</t>
  </si>
  <si>
    <r>
      <t>§</t>
    </r>
    <r>
      <rPr>
        <sz val="7"/>
        <color rgb="FF000000"/>
        <rFont val="Times New Roman"/>
        <family val="1"/>
      </rPr>
      <t xml:space="preserve">  </t>
    </r>
    <r>
      <rPr>
        <sz val="12"/>
        <color rgb="FF000000"/>
        <rFont val="Calibri"/>
        <family val="2"/>
      </rPr>
      <t>PDC are also tagged as branch banking and vendor (central banking)</t>
    </r>
  </si>
  <si>
    <r>
      <t>§</t>
    </r>
    <r>
      <rPr>
        <sz val="7"/>
        <color rgb="FF000000"/>
        <rFont val="Times New Roman"/>
        <family val="1"/>
      </rPr>
      <t xml:space="preserve">  </t>
    </r>
    <r>
      <rPr>
        <sz val="12"/>
        <color rgb="FF000000"/>
        <rFont val="Calibri"/>
        <family val="2"/>
      </rPr>
      <t>Also, multiple PDCs details can be entered against a single loan account.</t>
    </r>
  </si>
  <si>
    <t>TC_DHFL_PDC_27</t>
  </si>
  <si>
    <r>
      <t>§</t>
    </r>
    <r>
      <rPr>
        <strike/>
        <sz val="7"/>
        <color rgb="FF000000"/>
        <rFont val="Calibri Light"/>
        <family val="2"/>
      </rPr>
      <t xml:space="preserve">  </t>
    </r>
    <r>
      <rPr>
        <strike/>
        <sz val="12"/>
        <color rgb="FF000000"/>
        <rFont val="Calibri Light"/>
        <family val="2"/>
      </rPr>
      <t>For AHFL, a separate column will be required for capturing accounts maintenance charge.</t>
    </r>
  </si>
  <si>
    <r>
      <t>§</t>
    </r>
    <r>
      <rPr>
        <sz val="7"/>
        <color rgb="FF000000"/>
        <rFont val="Times New Roman"/>
        <family val="1"/>
      </rPr>
      <t xml:space="preserve">  </t>
    </r>
    <r>
      <rPr>
        <sz val="12"/>
        <color rgb="FF000000"/>
        <rFont val="Calibri"/>
        <family val="2"/>
      </rPr>
      <t>The PDC details for a Loan account can be entered using the PDC entry screen. The PDC’s can be generated for the entire tenor of the loan by adding details on the PDC entry screen and then clicking on generate.</t>
    </r>
  </si>
  <si>
    <r>
      <t>§</t>
    </r>
    <r>
      <rPr>
        <strike/>
        <sz val="7"/>
        <color rgb="FF000000"/>
        <rFont val="Calibri Light"/>
        <family val="2"/>
      </rPr>
      <t xml:space="preserve">  </t>
    </r>
    <r>
      <rPr>
        <strike/>
        <sz val="12"/>
        <color rgb="FF000000"/>
        <rFont val="Calibri Light"/>
        <family val="2"/>
      </rPr>
      <t>The system supports PDC entry against EMIs only. For PEMIs, since the installment amount is not fixed, user has to manually perform the DRE for repayment. The details of such PDCs if needed can be captured as security PDCs, and at the time DRE, user has to cancel the security PDC and perform the DRE for the cheque.</t>
    </r>
  </si>
  <si>
    <r>
      <t>§</t>
    </r>
    <r>
      <rPr>
        <sz val="7"/>
        <color rgb="FF000000"/>
        <rFont val="Times New Roman"/>
        <family val="1"/>
      </rPr>
      <t xml:space="preserve">  </t>
    </r>
    <r>
      <rPr>
        <sz val="12"/>
        <color rgb="FF000000"/>
        <rFont val="Calibri"/>
        <family val="2"/>
      </rPr>
      <t>Bank name and branch should be populated based on the MICR or IFSC codes from the bank master.</t>
    </r>
  </si>
  <si>
    <r>
      <t>§</t>
    </r>
    <r>
      <rPr>
        <sz val="7"/>
        <color rgb="FF000000"/>
        <rFont val="Times New Roman"/>
        <family val="1"/>
      </rPr>
      <t xml:space="preserve">  </t>
    </r>
    <r>
      <rPr>
        <sz val="12"/>
        <color rgb="FF000000"/>
        <rFont val="Calibri"/>
        <family val="2"/>
      </rPr>
      <t>When swapping is done, the old PDC data should be available for PDC return.</t>
    </r>
  </si>
  <si>
    <r>
      <t>§</t>
    </r>
    <r>
      <rPr>
        <sz val="7"/>
        <color rgb="FF000000"/>
        <rFont val="Times New Roman"/>
        <family val="1"/>
      </rPr>
      <t xml:space="preserve">  </t>
    </r>
    <r>
      <rPr>
        <sz val="12"/>
        <color rgb="FF000000"/>
        <rFont val="Calibri"/>
        <family val="2"/>
      </rPr>
      <t>PEMI/EMI tagging at PDC entry - 
o   At PDC entry, user should be able to enter PEMI Cheques. A field (with values EMI, PEMI) will be able through which user can tag the PDC with EMI or PEMI.
o   If a PDC is tagged as PEMI, Instrument amount will not be provided.
o   The due for PEMI will be generation on 1st of every month, so at the cycle date (10th of every month), PEMI cheque should be presented with PEMI due amount.
o   If any modification is required in any of PDC, user has to manually update the same through PDC edit.</t>
    </r>
  </si>
  <si>
    <t>TC_DHFL_PDC_25</t>
  </si>
  <si>
    <r>
      <t>§</t>
    </r>
    <r>
      <rPr>
        <sz val="7"/>
        <color rgb="FF000000"/>
        <rFont val="Times New Roman"/>
        <family val="1"/>
      </rPr>
      <t xml:space="preserve">  </t>
    </r>
    <r>
      <rPr>
        <sz val="12"/>
        <color rgb="FF000000"/>
        <rFont val="Calibri"/>
        <family val="2"/>
      </rPr>
      <t>If on an account PDCs were entered and later repayment mode was changed to ECS, etc. &amp; then subsequently ECS will be presented. Later if ECS is deactivated and payment mode was again PDC. Once ECS is deactivated then PDCs which are captured in the system for the future installments which will be used and batch will be created thereafter. For installment months, where PDCs were captured and ECS was presented then those PDCs cannot be used.</t>
    </r>
  </si>
  <si>
    <t>TC_DHFL_PDC_28</t>
  </si>
  <si>
    <r>
      <t>§</t>
    </r>
    <r>
      <rPr>
        <sz val="7"/>
        <color rgb="FF000000"/>
        <rFont val="Times New Roman"/>
        <family val="1"/>
      </rPr>
      <t xml:space="preserve">  </t>
    </r>
    <r>
      <rPr>
        <sz val="12"/>
        <color rgb="FF000000"/>
        <rFont val="Calibri"/>
        <family val="2"/>
      </rPr>
      <t>At the maximum three PDC’s can be taken for any installment.</t>
    </r>
  </si>
  <si>
    <r>
      <t>§</t>
    </r>
    <r>
      <rPr>
        <sz val="7"/>
        <color rgb="FF000000"/>
        <rFont val="Times New Roman"/>
        <family val="1"/>
      </rPr>
      <t xml:space="preserve">  </t>
    </r>
    <r>
      <rPr>
        <sz val="12"/>
        <color rgb="FF000000"/>
        <rFont val="Calibri"/>
        <family val="2"/>
      </rPr>
      <t>PDC Return: In case of swap, old PDC data should be available for PDC return.</t>
    </r>
  </si>
  <si>
    <t>PDC Entry screen will only be available for Live loans.</t>
  </si>
  <si>
    <r>
      <t>§</t>
    </r>
    <r>
      <rPr>
        <sz val="7"/>
        <color rgb="FF000000"/>
        <rFont val="Times New Roman"/>
        <family val="1"/>
      </rPr>
      <t xml:space="preserve">  </t>
    </r>
    <r>
      <rPr>
        <sz val="12"/>
        <color rgb="FF000000"/>
        <rFont val="Calibri"/>
        <family val="2"/>
      </rPr>
      <t>Users must enter the PDC details in sequential manner</t>
    </r>
  </si>
  <si>
    <r>
      <t>§</t>
    </r>
    <r>
      <rPr>
        <sz val="7"/>
        <color rgb="FF000000"/>
        <rFont val="Times New Roman"/>
        <family val="1"/>
      </rPr>
      <t xml:space="preserve">  </t>
    </r>
    <r>
      <rPr>
        <sz val="12"/>
        <color rgb="FF000000"/>
        <rFont val="Calibri"/>
        <family val="2"/>
      </rPr>
      <t>The details of PDC’s entered can be viewed from the PDC details screen</t>
    </r>
  </si>
  <si>
    <t>TC_DHFL_PDC_04</t>
  </si>
  <si>
    <r>
      <t>§</t>
    </r>
    <r>
      <rPr>
        <sz val="7"/>
        <color rgb="FF000000"/>
        <rFont val="Times New Roman"/>
        <family val="1"/>
      </rPr>
      <t xml:space="preserve">  </t>
    </r>
    <r>
      <rPr>
        <sz val="12"/>
        <color rgb="FF000000"/>
        <rFont val="Calibri"/>
        <family val="2"/>
      </rPr>
      <t>The details of PDC entered wrongly can be changed using the PDC edit screen</t>
    </r>
  </si>
  <si>
    <t>Report is required for listing of all PDC's for a particular presentation date range. 
Input parameters - date range (From date, To date, Business Unit (particular BU, or all).
Outfield Field Name - Branch Name, Branch Code, Loan account number, cycle date, instrument number, installment amount, instrument amount, instrument bank code &amp; name, deposit bank code &amp; Name, Banking Type, Instrument Type, Sub Type</t>
  </si>
  <si>
    <t>Duplicate Point. Already covered in Report</t>
  </si>
  <si>
    <t>Modes of Payment - DRE</t>
  </si>
  <si>
    <t>Account level DRE with different payment modes. (cash, Cheque, DD, Net Banking, Pay Nimo, Card)</t>
  </si>
  <si>
    <t>TC_DHFL_DRE_01</t>
  </si>
  <si>
    <t>TC_DHFL_DRE_11</t>
  </si>
  <si>
    <t>TC_DHFL_DRE_13</t>
  </si>
  <si>
    <t>TC_DHFL_DRE_14</t>
  </si>
  <si>
    <t>183876
185547</t>
  </si>
  <si>
    <t>TC_DHFL_DRE_15</t>
  </si>
  <si>
    <t>Customer level DRE with different payment modes.  (cash, Cheque, DD, Net Banking, Pay Nimo, Card)</t>
  </si>
  <si>
    <t>Test Cases sent for review</t>
  </si>
  <si>
    <t>DRE can be cancelled even after the payment for the same has been applied within a validity period.</t>
  </si>
  <si>
    <t>TC_DHFL_DRE_09</t>
  </si>
  <si>
    <t>TC_DHFL_DRE_10</t>
  </si>
  <si>
    <t>Security PDC - If security PDC is utilized as part of DRE, the same should be marked as utilized by the system</t>
  </si>
  <si>
    <t>TC_DHFL_PDC_33</t>
  </si>
  <si>
    <t>6.3.1.1</t>
  </si>
  <si>
    <t>Bulk DRE Maker</t>
  </si>
  <si>
    <t>This is a process which is designed to browse the DRE upload File (XLS) from the local machine and upload it. The records in the file uploaded will be available for view on the screen in the same structure as the file uploaded i.e. the same columns will be visible on the screen for view.</t>
  </si>
  <si>
    <t>LMS.GenericBulk.DRE.004</t>
  </si>
  <si>
    <t xml:space="preserve">Bulk DRE Upload - System will validate the uploaded file for the following:
 Instrument date should be equal current business date for instrument types other than Cheque. For Cheque it can be equal to or lesser (max back date maintained as a GCM parameter) than the business date
 Duplicate Instrument check along with bank account number
 Valid Loan Account Number check
 Valid Customer Number check
 Valid Bank check against master
 Valid Branch check against master
</t>
  </si>
  <si>
    <t>LMS.GenericBulk.DRE.005</t>
  </si>
  <si>
    <t>LMS.GenericBulk.DRE.006</t>
  </si>
  <si>
    <t>LMS.GenericBulk.DRE.007</t>
  </si>
  <si>
    <t>LMS.GenericBulk.DRE.008</t>
  </si>
  <si>
    <t>§  Bulk DRE will not have transaction types tagging available</t>
  </si>
  <si>
    <t>LMS.GenericBulk.DRE.011 to
LMS.GenericBulk.DRE.020</t>
  </si>
  <si>
    <t>§  Through Bulk DRE, the received amount is passed to excess. From excess the amount will get adjusted against the dues, if any, during EOD process.</t>
  </si>
  <si>
    <t>TC_DHFL_BLK_DRE_17</t>
  </si>
  <si>
    <t>Provided</t>
  </si>
  <si>
    <t>§  The DRE bulk file can be browsed and uploaded from any location on the local system</t>
  </si>
  <si>
    <t>LMS.GenericBulk.DRE.009</t>
  </si>
  <si>
    <t>§  The bulk upload file will be in excel format (Refer Section 11 Annexure)</t>
  </si>
  <si>
    <t>§  It will be common for all instrument types</t>
  </si>
  <si>
    <t xml:space="preserve">§  Any file uploaded will be check for duplication i.e. duplicate filename check </t>
  </si>
  <si>
    <t>TC_DHFL_BLK_DRE_12</t>
  </si>
  <si>
    <t>Test Case Under Review</t>
  </si>
  <si>
    <t>§  Every file uploaded will be available as view only on the maker screen</t>
  </si>
  <si>
    <t>TC_DHFL_BLK_DRE_01</t>
  </si>
  <si>
    <t>§  On clicking on validate, system will validate the file data as per the validations mentioned above</t>
  </si>
  <si>
    <t>TC_DHFL_BLK_DRE_03 to TC_DHFL_BLK_DRE_11</t>
  </si>
  <si>
    <t>§  In case of error in file, System rejects entire file</t>
  </si>
  <si>
    <t>TC_DHFL_BLK_DRE_13</t>
  </si>
  <si>
    <t>§  A record wise error log will be provided to the maker, based on which he can rectify the file and re- upload</t>
  </si>
  <si>
    <t>TC_DHFL_BLK_DRE_19</t>
  </si>
  <si>
    <t>§  Maker can save the file and error records are removed before uploading the file</t>
  </si>
  <si>
    <t>TC_DHFL_BLK_DRE_23</t>
  </si>
  <si>
    <t xml:space="preserve">§  On save the status of the records will be updated i.e. ‘H’ in case the record is put on hold and ‘A’ in case uploaded successfully </t>
  </si>
  <si>
    <t>TC_DHFL_BLK_DRE_18</t>
  </si>
  <si>
    <t>The file saved by the maker will be available to any other LMS user other than the maker having the rights to the checker screen for verifying</t>
  </si>
  <si>
    <t>TC_DHFL_BLK_DRE_15</t>
  </si>
  <si>
    <t>6.3.1.2</t>
  </si>
  <si>
    <t>Bulk DRE Checker</t>
  </si>
  <si>
    <t>§  The file saved by the maker will be available to any other LMS user having the rights to the checker screen for verifying</t>
  </si>
  <si>
    <t>§  The checker can enter remarks and approve or reject the entire file</t>
  </si>
  <si>
    <t>§  If rejected the record of that file will be deleted so that the user can re-upload the file after rectifying</t>
  </si>
  <si>
    <t>TC_DHFL_BLK_DRE_25</t>
  </si>
  <si>
    <t>§  In case the user approves a file along with hold records, system will only consider the records with status ‘A’ for payment application</t>
  </si>
  <si>
    <t>TC_DHFL_BLK_DRE_26</t>
  </si>
  <si>
    <t>Such verified DRE file will be available for Payment application batch process which can be scheduled or manually run</t>
  </si>
  <si>
    <t>6.3.1.3</t>
  </si>
  <si>
    <t>Bulk DRE History</t>
  </si>
  <si>
    <t xml:space="preserve">Bulk DRE History - 
 This screen allows the user to view the upload summary for any Bulk DRE file uploaded
 It shows the count of records processed, errors and put on hold
 Allows the user to download a file with the error and hold records which can then be rectified and uploaded back 
</t>
  </si>
  <si>
    <t>TC_DHFL_BLK_DRE_22</t>
  </si>
  <si>
    <t>Charge Booking</t>
  </si>
  <si>
    <t xml:space="preserve">To check generation of both - 
 Event based charges – this is a system process and on occurrence of an event, the charges are automatically booked by the system e.g. bounce charges
 Manual charges – this is the process where a user can book an ad-hoc charge for a customer
</t>
  </si>
  <si>
    <t>6.4.1</t>
  </si>
  <si>
    <t>Bulk Charge Upload</t>
  </si>
  <si>
    <r>
      <t>§</t>
    </r>
    <r>
      <rPr>
        <sz val="7"/>
        <color rgb="FF000000"/>
        <rFont val="Times New Roman"/>
        <family val="1"/>
      </rPr>
      <t xml:space="preserve">  </t>
    </r>
    <r>
      <rPr>
        <strike/>
        <sz val="12"/>
        <color rgb="FF000000"/>
        <rFont val="Times New Roman"/>
        <family val="1"/>
      </rPr>
      <t xml:space="preserve">Service tax </t>
    </r>
    <r>
      <rPr>
        <sz val="12"/>
        <color rgb="FF000000"/>
        <rFont val="Times New Roman"/>
        <family val="1"/>
      </rPr>
      <t>GST will be applicable and it can be inclusive or exclusive of the charge amount as per the configuration at the charges master level.</t>
    </r>
  </si>
  <si>
    <r>
      <t>§</t>
    </r>
    <r>
      <rPr>
        <sz val="7"/>
        <color rgb="FF000000"/>
        <rFont val="Times New Roman"/>
        <family val="1"/>
      </rPr>
      <t xml:space="preserve">  </t>
    </r>
    <r>
      <rPr>
        <sz val="12"/>
        <color rgb="FF000000"/>
        <rFont val="Times New Roman"/>
        <family val="1"/>
      </rPr>
      <t>Accounting for the charges to be passed on actual receipt basis.</t>
    </r>
  </si>
  <si>
    <r>
      <t>§</t>
    </r>
    <r>
      <rPr>
        <sz val="7"/>
        <color rgb="FF000000"/>
        <rFont val="Times New Roman"/>
        <family val="1"/>
      </rPr>
      <t xml:space="preserve">  </t>
    </r>
    <r>
      <rPr>
        <sz val="12"/>
        <color rgb="FF000000"/>
        <rFont val="Times New Roman"/>
        <family val="1"/>
      </rPr>
      <t xml:space="preserve">The </t>
    </r>
    <r>
      <rPr>
        <strike/>
        <sz val="12"/>
        <color rgb="FF000000"/>
        <rFont val="Times New Roman"/>
        <family val="1"/>
      </rPr>
      <t>service tax</t>
    </r>
    <r>
      <rPr>
        <sz val="12"/>
        <color rgb="FF000000"/>
        <rFont val="Times New Roman"/>
        <family val="1"/>
      </rPr>
      <t xml:space="preserve"> GST will be recalculated at the time of actual receipt and receipting is going to be done at CRM receipting module.</t>
    </r>
  </si>
  <si>
    <r>
      <t>§</t>
    </r>
    <r>
      <rPr>
        <sz val="7"/>
        <color rgb="FF000000"/>
        <rFont val="Times New Roman"/>
        <family val="1"/>
      </rPr>
      <t xml:space="preserve">  </t>
    </r>
    <r>
      <rPr>
        <sz val="12"/>
        <color rgb="FF000000"/>
        <rFont val="Times New Roman"/>
        <family val="1"/>
      </rPr>
      <t>The charge reason to be defaulted with the event or charge booked</t>
    </r>
  </si>
  <si>
    <r>
      <t>§</t>
    </r>
    <r>
      <rPr>
        <sz val="7"/>
        <color rgb="FF000000"/>
        <rFont val="Times New Roman"/>
        <family val="1"/>
      </rPr>
      <t xml:space="preserve">  </t>
    </r>
    <r>
      <rPr>
        <sz val="12"/>
        <color rgb="FF000000"/>
        <rFont val="Times New Roman"/>
        <family val="1"/>
      </rPr>
      <t>In case of tax on charges is inclusive, system will compute charge amount but same should be recalculated (i.e. tax breakup) at the time of payment (possibility of tax rate change) and accounting will be passed accordingly. If customer makes payment only for charges and not for tax then system should compute the charge and tax breakup so that amount paid includes both charges and tax and in this case, some amount of charges will still be due.</t>
    </r>
  </si>
  <si>
    <r>
      <t>§</t>
    </r>
    <r>
      <rPr>
        <sz val="7"/>
        <color rgb="FF000000"/>
        <rFont val="Times New Roman"/>
        <family val="1"/>
      </rPr>
      <t xml:space="preserve">  </t>
    </r>
    <r>
      <rPr>
        <sz val="12"/>
        <color rgb="FF000000"/>
        <rFont val="Times New Roman"/>
        <family val="1"/>
      </rPr>
      <t>In case of tax on charges is exclusive, system will compute charges but the same will not be shown as due. On the date of payment, tax will be recomputed as per rate on that date and will be shown along with charges.</t>
    </r>
  </si>
  <si>
    <r>
      <t>§</t>
    </r>
    <r>
      <rPr>
        <strike/>
        <sz val="7"/>
        <color rgb="FF000000"/>
        <rFont val="Calibri Light"/>
        <family val="2"/>
      </rPr>
      <t xml:space="preserve">  </t>
    </r>
    <r>
      <rPr>
        <strike/>
        <sz val="12"/>
        <color rgb="FF000000"/>
        <rFont val="Calibri Light"/>
        <family val="2"/>
      </rPr>
      <t>Account maintenance Charges for Aadhar: As per discussion, account maintenance charges are no longer applicable.</t>
    </r>
  </si>
  <si>
    <t xml:space="preserve">System will validate the uploaded file for the following:
 Valid Loan Account Number check
 Valid Charge Head
 Charge Amount needs to be greater than Zero
</t>
  </si>
  <si>
    <t>LMS.GenericBulk.CharBooking.005</t>
  </si>
  <si>
    <t>LMS.GenericBulk.CharBooking.006</t>
  </si>
  <si>
    <r>
      <t>§</t>
    </r>
    <r>
      <rPr>
        <sz val="7"/>
        <color rgb="FF000000"/>
        <rFont val="Times New Roman"/>
        <family val="1"/>
      </rPr>
      <t xml:space="preserve">  </t>
    </r>
    <r>
      <rPr>
        <sz val="12"/>
        <color rgb="FF000000"/>
        <rFont val="Calibri"/>
        <family val="2"/>
      </rPr>
      <t>The bulk charge file can be browsed and uploaded from any location on the local system</t>
    </r>
  </si>
  <si>
    <t>LMS.GenericBulk.CharBooking.007</t>
  </si>
  <si>
    <r>
      <t>§</t>
    </r>
    <r>
      <rPr>
        <sz val="7"/>
        <color rgb="FF000000"/>
        <rFont val="Times New Roman"/>
        <family val="1"/>
      </rPr>
      <t xml:space="preserve">  </t>
    </r>
    <r>
      <rPr>
        <sz val="12"/>
        <color rgb="FF000000"/>
        <rFont val="Calibri"/>
        <family val="2"/>
      </rPr>
      <t>The bulk upload file will be in pre configured excel format.</t>
    </r>
  </si>
  <si>
    <t>LMS.GenericBulk.CharBooking.004</t>
  </si>
  <si>
    <r>
      <t>§</t>
    </r>
    <r>
      <rPr>
        <sz val="7"/>
        <color rgb="FF000000"/>
        <rFont val="Times New Roman"/>
        <family val="1"/>
      </rPr>
      <t xml:space="preserve">  </t>
    </r>
    <r>
      <rPr>
        <sz val="12"/>
        <color rgb="FF000000"/>
        <rFont val="Calibri"/>
        <family val="2"/>
      </rPr>
      <t xml:space="preserve">Any file uploaded will be check for duplication i.e. duplicate filename check. </t>
    </r>
  </si>
  <si>
    <r>
      <t>§</t>
    </r>
    <r>
      <rPr>
        <sz val="7"/>
        <color rgb="FF000000"/>
        <rFont val="Times New Roman"/>
        <family val="1"/>
      </rPr>
      <t xml:space="preserve">  </t>
    </r>
    <r>
      <rPr>
        <sz val="12"/>
        <color rgb="FF000000"/>
        <rFont val="Calibri"/>
        <family val="2"/>
      </rPr>
      <t>Every file uploaded will be available as view only on the maker screen</t>
    </r>
  </si>
  <si>
    <r>
      <t>§</t>
    </r>
    <r>
      <rPr>
        <sz val="7"/>
        <color rgb="FF000000"/>
        <rFont val="Times New Roman"/>
        <family val="1"/>
      </rPr>
      <t xml:space="preserve">  </t>
    </r>
    <r>
      <rPr>
        <sz val="12"/>
        <color rgb="FF000000"/>
        <rFont val="Calibri"/>
        <family val="2"/>
      </rPr>
      <t>On clicking on validate, system will validate the file data as per the validations mentioned above</t>
    </r>
  </si>
  <si>
    <r>
      <t>§</t>
    </r>
    <r>
      <rPr>
        <sz val="7"/>
        <color rgb="FF000000"/>
        <rFont val="Times New Roman"/>
        <family val="1"/>
      </rPr>
      <t xml:space="preserve">  </t>
    </r>
    <r>
      <rPr>
        <sz val="12"/>
        <color rgb="FF000000"/>
        <rFont val="Calibri"/>
        <family val="2"/>
      </rPr>
      <t>A record wise error log will be provided to the maker, based on which he can rectify the file and re- upload</t>
    </r>
  </si>
  <si>
    <r>
      <t>§</t>
    </r>
    <r>
      <rPr>
        <sz val="7"/>
        <color rgb="FF000000"/>
        <rFont val="Times New Roman"/>
        <family val="1"/>
      </rPr>
      <t xml:space="preserve">  </t>
    </r>
    <r>
      <rPr>
        <sz val="12"/>
        <color rgb="FF000000"/>
        <rFont val="Calibri"/>
        <family val="2"/>
      </rPr>
      <t xml:space="preserve">Maker can save the file </t>
    </r>
    <r>
      <rPr>
        <sz val="11"/>
        <color rgb="FF000000"/>
        <rFont val="Calibri"/>
        <family val="2"/>
      </rPr>
      <t>and error records are removed before uploading the file</t>
    </r>
  </si>
  <si>
    <r>
      <t>§</t>
    </r>
    <r>
      <rPr>
        <sz val="7"/>
        <color rgb="FF000000"/>
        <rFont val="Times New Roman"/>
        <family val="1"/>
      </rPr>
      <t xml:space="preserve">  </t>
    </r>
    <r>
      <rPr>
        <sz val="12"/>
        <color rgb="FF000000"/>
        <rFont val="Calibri"/>
        <family val="2"/>
      </rPr>
      <t xml:space="preserve">On save the status of the records will be updated i.e. ‘H’ in case the record is put on hold and ‘A’ in case uploaded successfully </t>
    </r>
  </si>
  <si>
    <r>
      <t>§</t>
    </r>
    <r>
      <rPr>
        <sz val="7"/>
        <color rgb="FF000000"/>
        <rFont val="Times New Roman"/>
        <family val="1"/>
      </rPr>
      <t xml:space="preserve">  </t>
    </r>
    <r>
      <rPr>
        <sz val="12"/>
        <color rgb="FF000000"/>
        <rFont val="Calibri"/>
        <family val="2"/>
      </rPr>
      <t>The file saved by the maker will be available to any other LMS user other than the maker having the rights to the checker screen for verifying</t>
    </r>
  </si>
  <si>
    <r>
      <t>§</t>
    </r>
    <r>
      <rPr>
        <sz val="7"/>
        <color rgb="FF000000"/>
        <rFont val="Times New Roman"/>
        <family val="1"/>
      </rPr>
      <t xml:space="preserve">  </t>
    </r>
    <r>
      <rPr>
        <sz val="12"/>
        <color rgb="FF000000"/>
        <rFont val="Calibri"/>
        <family val="2"/>
      </rPr>
      <t>Bulk charge booking can be done at portfolio level, or at product level.</t>
    </r>
  </si>
  <si>
    <r>
      <t>§</t>
    </r>
    <r>
      <rPr>
        <sz val="7"/>
        <color rgb="FF000000"/>
        <rFont val="Times New Roman"/>
        <family val="1"/>
      </rPr>
      <t xml:space="preserve">  </t>
    </r>
    <r>
      <rPr>
        <sz val="12"/>
        <color rgb="FF000000"/>
        <rFont val="Calibri"/>
        <family val="2"/>
      </rPr>
      <t>Bulk charge booking can be done for particular range of loan booking date.</t>
    </r>
  </si>
  <si>
    <r>
      <t>§</t>
    </r>
    <r>
      <rPr>
        <sz val="7"/>
        <color rgb="FF000000"/>
        <rFont val="Times New Roman"/>
        <family val="1"/>
      </rPr>
      <t xml:space="preserve">  </t>
    </r>
    <r>
      <rPr>
        <sz val="12"/>
        <color rgb="FF000000"/>
        <rFont val="Calibri"/>
        <family val="2"/>
      </rPr>
      <t>Accounting entries will be passed at receipt only. It will be not be passed on booking the charges.</t>
    </r>
  </si>
  <si>
    <t>Charge Waiver</t>
  </si>
  <si>
    <t>Both the manual and system generated charges can be waived. Paid charges can also be waived.</t>
  </si>
  <si>
    <t>TC_DHFL_CH_01</t>
  </si>
  <si>
    <t>TC_DHFL_CH_03</t>
  </si>
  <si>
    <r>
      <t>§</t>
    </r>
    <r>
      <rPr>
        <sz val="7"/>
        <color rgb="FF000000"/>
        <rFont val="Times New Roman"/>
        <family val="1"/>
      </rPr>
      <t xml:space="preserve">  </t>
    </r>
    <r>
      <rPr>
        <sz val="11"/>
        <color rgb="FF000000"/>
        <rFont val="Calibri"/>
        <family val="2"/>
      </rPr>
      <t>Charges can be waiver either in part or in full</t>
    </r>
  </si>
  <si>
    <t>TC_DHFL_CH_04</t>
  </si>
  <si>
    <r>
      <t>§</t>
    </r>
    <r>
      <rPr>
        <sz val="7"/>
        <color rgb="FF000000"/>
        <rFont val="Times New Roman"/>
        <family val="1"/>
      </rPr>
      <t xml:space="preserve">  </t>
    </r>
    <r>
      <rPr>
        <sz val="11"/>
        <color rgb="FF000000"/>
        <rFont val="Calibri"/>
        <family val="2"/>
      </rPr>
      <t>Both paid and unpaid charges waiver to be allowed</t>
    </r>
  </si>
  <si>
    <t>TC_DHFL_CH_05</t>
  </si>
  <si>
    <t>TC_DHFL_CH_06</t>
  </si>
  <si>
    <t>In case of paid charges waiver, proportionate reversal of service tax to be done and accordingly accounting to be passed for reversal</t>
  </si>
  <si>
    <t>Credit Note</t>
  </si>
  <si>
    <r>
      <t>§</t>
    </r>
    <r>
      <rPr>
        <sz val="7"/>
        <color rgb="FF000000"/>
        <rFont val="Times New Roman"/>
        <family val="1"/>
      </rPr>
      <t xml:space="preserve">  </t>
    </r>
    <r>
      <rPr>
        <sz val="11"/>
        <color rgb="FF000000"/>
        <rFont val="Calibri"/>
        <family val="2"/>
      </rPr>
      <t>The credit note amount is parked in the excess against that loan account and the excess amount can be refunded through the refund screen.  If any dues are there in that account, it will be adjusted against the same.</t>
    </r>
  </si>
  <si>
    <t>TC_DHFL_CRN_02</t>
  </si>
  <si>
    <r>
      <t>§</t>
    </r>
    <r>
      <rPr>
        <sz val="7"/>
        <color rgb="FF000000"/>
        <rFont val="Times New Roman"/>
        <family val="1"/>
      </rPr>
      <t xml:space="preserve">  </t>
    </r>
    <r>
      <rPr>
        <sz val="11"/>
        <color rgb="FF000000"/>
        <rFont val="Calibri"/>
        <family val="2"/>
      </rPr>
      <t>Credit note to be allowed after loan closure against a purpose to handle any miscellaneous payments</t>
    </r>
  </si>
  <si>
    <t>TC_DHFL_CRN_03</t>
  </si>
  <si>
    <r>
      <t>§</t>
    </r>
    <r>
      <rPr>
        <sz val="7"/>
        <color rgb="FF000000"/>
        <rFont val="Times New Roman"/>
        <family val="1"/>
      </rPr>
      <t xml:space="preserve">  </t>
    </r>
    <r>
      <rPr>
        <sz val="11"/>
        <color rgb="FF000000"/>
        <rFont val="Calibri"/>
        <family val="2"/>
      </rPr>
      <t>Credit Note - CRM Service Request no. to be captured in the screen</t>
    </r>
  </si>
  <si>
    <t>TC_DHFL_CRN_01</t>
  </si>
  <si>
    <r>
      <t>§</t>
    </r>
    <r>
      <rPr>
        <sz val="7"/>
        <color rgb="FF000000"/>
        <rFont val="Times New Roman"/>
        <family val="1"/>
      </rPr>
      <t xml:space="preserve">  </t>
    </r>
    <r>
      <rPr>
        <sz val="11"/>
        <color rgb="FF000000"/>
        <rFont val="Calibri"/>
        <family val="2"/>
      </rPr>
      <t>Maker Authorizer required</t>
    </r>
  </si>
  <si>
    <r>
      <t>§</t>
    </r>
    <r>
      <rPr>
        <sz val="7"/>
        <color rgb="FF000000"/>
        <rFont val="Times New Roman"/>
        <family val="1"/>
      </rPr>
      <t xml:space="preserve">  </t>
    </r>
    <r>
      <rPr>
        <sz val="11"/>
        <color rgb="FF000000"/>
        <rFont val="Calibri"/>
        <family val="2"/>
      </rPr>
      <t>Credit note reason field should be available, and it should be mandatory.</t>
    </r>
  </si>
  <si>
    <t>Purpose and related accounting entries for credit note - 
- against principal
- against interest
- against charges (it will impact the GL of the particular charge head only)
- Advance EMI refund
- IMGC premium fee refund</t>
  </si>
  <si>
    <t>TC_DHFL_CRN_04</t>
  </si>
  <si>
    <t>TC_DHFL_CRN_05</t>
  </si>
  <si>
    <t>TC_DHFL_CRN_06</t>
  </si>
  <si>
    <t>Debit Note</t>
  </si>
  <si>
    <r>
      <t>§</t>
    </r>
    <r>
      <rPr>
        <sz val="7"/>
        <color rgb="FF000000"/>
        <rFont val="Times New Roman"/>
        <family val="1"/>
      </rPr>
      <t xml:space="preserve">  </t>
    </r>
    <r>
      <rPr>
        <sz val="11"/>
        <color rgb="FF000000"/>
        <rFont val="Calibri"/>
        <family val="2"/>
      </rPr>
      <t xml:space="preserve">The user can enter the amount of debit note </t>
    </r>
  </si>
  <si>
    <t>TC_DHFL_DRN_01</t>
  </si>
  <si>
    <r>
      <t>§</t>
    </r>
    <r>
      <rPr>
        <sz val="7"/>
        <color rgb="FF000000"/>
        <rFont val="Times New Roman"/>
        <family val="1"/>
      </rPr>
      <t xml:space="preserve">  </t>
    </r>
    <r>
      <rPr>
        <sz val="11"/>
        <color rgb="FF000000"/>
        <rFont val="Calibri"/>
        <family val="2"/>
      </rPr>
      <t xml:space="preserve">The user can also select a reason code for issuing the debit note </t>
    </r>
  </si>
  <si>
    <r>
      <t>§</t>
    </r>
    <r>
      <rPr>
        <sz val="7"/>
        <color rgb="FF000000"/>
        <rFont val="Times New Roman"/>
        <family val="1"/>
      </rPr>
      <t xml:space="preserve">  </t>
    </r>
    <r>
      <rPr>
        <sz val="11"/>
        <color rgb="FF000000"/>
        <rFont val="Calibri"/>
        <family val="2"/>
      </rPr>
      <t>On saving the screen the amount of debit note is made due on that Loan account number</t>
    </r>
  </si>
  <si>
    <r>
      <t>§</t>
    </r>
    <r>
      <rPr>
        <sz val="7"/>
        <color rgb="FF000000"/>
        <rFont val="Times New Roman"/>
        <family val="1"/>
      </rPr>
      <t xml:space="preserve">  </t>
    </r>
    <r>
      <rPr>
        <sz val="11"/>
        <color rgb="FF000000"/>
        <rFont val="Calibri"/>
        <family val="2"/>
      </rPr>
      <t>Debit note to be allowed after loan closure against a purpose to handle any miscellaneous receipts</t>
    </r>
  </si>
  <si>
    <t>TC_DHFL_DRN_02</t>
  </si>
  <si>
    <r>
      <t>§</t>
    </r>
    <r>
      <rPr>
        <sz val="7"/>
        <color rgb="FF000000"/>
        <rFont val="Times New Roman"/>
        <family val="1"/>
      </rPr>
      <t xml:space="preserve">  </t>
    </r>
    <r>
      <rPr>
        <sz val="11"/>
        <color rgb="FF000000"/>
        <rFont val="Calibri"/>
        <family val="2"/>
      </rPr>
      <t xml:space="preserve">No accounting entries will be passed on due creation. Accounting entries to be passed on receipt only. </t>
    </r>
  </si>
  <si>
    <r>
      <t>§</t>
    </r>
    <r>
      <rPr>
        <sz val="7"/>
        <color rgb="FF000000"/>
        <rFont val="Times New Roman"/>
        <family val="1"/>
      </rPr>
      <t xml:space="preserve">  </t>
    </r>
    <r>
      <rPr>
        <sz val="11"/>
        <color rgb="FF000000"/>
        <rFont val="Calibri"/>
        <family val="2"/>
      </rPr>
      <t>Debit Note - CRM Service Request no. to be captured in the screen</t>
    </r>
  </si>
  <si>
    <t>Maker Authorizer required</t>
  </si>
  <si>
    <t>Refund</t>
  </si>
  <si>
    <t xml:space="preserve">Following instrument types &amp; corresponding fields will be applicable:
 Cash
 Cheque
o Favouring, Instrument Number, Date, Amount, Issuing Bank Name, Issuing Bank Account Number
 NEFT / RTGS
o Favoring Bank Account Number, IFSC, Bank name, Branch name, UTRN Number, Date, Amount, Issuing Bank Name, Issuing Bank Account Number
 DD
o DD Number, Date, Amount, Issuing Bank Name, Issuing Bank Account Number
</t>
  </si>
  <si>
    <t>TC_DHFL_REFUND_01</t>
  </si>
  <si>
    <t>TC_DHFL_REFUND_02</t>
  </si>
  <si>
    <t>TC_DHFL_REFUND_03</t>
  </si>
  <si>
    <t>TC_DHFL_REFUND_04</t>
  </si>
  <si>
    <r>
      <t>§</t>
    </r>
    <r>
      <rPr>
        <sz val="7"/>
        <color rgb="FF000000"/>
        <rFont val="Times New Roman"/>
        <family val="1"/>
      </rPr>
      <t xml:space="preserve">  </t>
    </r>
    <r>
      <rPr>
        <sz val="11"/>
        <color rgb="FF000000"/>
        <rFont val="Calibri"/>
        <family val="2"/>
      </rPr>
      <t>The user will enter the refund amount on the screen</t>
    </r>
  </si>
  <si>
    <t>TC_DHFL_REFUND_08</t>
  </si>
  <si>
    <r>
      <t>§</t>
    </r>
    <r>
      <rPr>
        <sz val="7"/>
        <color rgb="FF000000"/>
        <rFont val="Times New Roman"/>
        <family val="1"/>
      </rPr>
      <t xml:space="preserve">  </t>
    </r>
    <r>
      <rPr>
        <sz val="11"/>
        <color rgb="FF000000"/>
        <rFont val="Calibri"/>
        <family val="2"/>
      </rPr>
      <t>The system should not allow entering the amount more than the amount lying in the excess of the account. Also, user should be enter the record is there is no amount in excess.</t>
    </r>
  </si>
  <si>
    <t>TC_DHFL_REFUND_17</t>
  </si>
  <si>
    <r>
      <t>§</t>
    </r>
    <r>
      <rPr>
        <sz val="7"/>
        <color rgb="FF000000"/>
        <rFont val="Times New Roman"/>
        <family val="1"/>
      </rPr>
      <t xml:space="preserve">  </t>
    </r>
    <r>
      <rPr>
        <sz val="11"/>
        <color rgb="FF000000"/>
        <rFont val="Calibri"/>
        <family val="2"/>
      </rPr>
      <t>The refund amount will be reduced from the excess amount against the loan account</t>
    </r>
  </si>
  <si>
    <t>TC_DHFL_REFUND_18</t>
  </si>
  <si>
    <r>
      <t>§</t>
    </r>
    <r>
      <rPr>
        <sz val="7"/>
        <color rgb="FF000000"/>
        <rFont val="Times New Roman"/>
        <family val="1"/>
      </rPr>
      <t xml:space="preserve">  </t>
    </r>
    <r>
      <rPr>
        <sz val="11"/>
        <color rgb="FF000000"/>
        <rFont val="Calibri"/>
        <family val="2"/>
      </rPr>
      <t>The refund reasons can be specified by the user, and it should be mandatory.</t>
    </r>
  </si>
  <si>
    <t>TC_DHFL_REFUND_06</t>
  </si>
  <si>
    <r>
      <t>§</t>
    </r>
    <r>
      <rPr>
        <sz val="7"/>
        <color rgb="FF000000"/>
        <rFont val="Times New Roman"/>
        <family val="1"/>
      </rPr>
      <t xml:space="preserve">  </t>
    </r>
    <r>
      <rPr>
        <sz val="11"/>
        <color rgb="FF000000"/>
        <rFont val="Calibri"/>
        <family val="2"/>
      </rPr>
      <t>Remarks are mandatory if reason selected is others</t>
    </r>
  </si>
  <si>
    <t>TC_DHFL_REFUND_07</t>
  </si>
  <si>
    <r>
      <t>§</t>
    </r>
    <r>
      <rPr>
        <sz val="7"/>
        <color rgb="FF000000"/>
        <rFont val="Times New Roman"/>
        <family val="1"/>
      </rPr>
      <t xml:space="preserve">  </t>
    </r>
    <r>
      <rPr>
        <sz val="11"/>
        <color rgb="FF000000"/>
        <rFont val="Calibri"/>
        <family val="2"/>
      </rPr>
      <t>CRM Service Request no. to be captured in the screen. Additionally, Instrument type - NEFT/ RTGS required. Also, favoring name and account number to be captured.</t>
    </r>
  </si>
  <si>
    <t>TC_DHFL_REFUND_05</t>
  </si>
  <si>
    <t>TC_DHFL_REFUND_19</t>
  </si>
  <si>
    <t>No such test case</t>
  </si>
  <si>
    <t>6.8.1</t>
  </si>
  <si>
    <t>Reversal of Refund</t>
  </si>
  <si>
    <t xml:space="preserve">Process - 
• User will select the refund transaction ID from the searcher. The list of refund transactions performed on the account will appear.
• System will display the refund amount.
• User can select the refund reason from the dropdown. The refund reason codes are to be provided by DHFL.
• User can enter the remarks.
</t>
  </si>
  <si>
    <t>TC_DHFL_ROR_01</t>
  </si>
  <si>
    <t>Reversal of refund will be applicable for live accounts.</t>
  </si>
  <si>
    <t>Reversal of refund can be performed only for the selected refund transaction.</t>
  </si>
  <si>
    <t>Reversal of refund cannot be done in the partial manner, such that, if selected the whole refund transaction should be reversed.</t>
  </si>
  <si>
    <t>TC_DHFL_ROR_05</t>
  </si>
  <si>
    <t xml:space="preserve">If user has to perform the refund transaction again pertaining the reversal, then it has to be procedurally handled by the user. </t>
  </si>
  <si>
    <t>Since through reversal of refund, account’s excess will get credited, the same will be utilized against dues (if any) during the EOD process.</t>
  </si>
  <si>
    <t>TC_DHFL_ROR_03</t>
  </si>
  <si>
    <t>Discussion Required</t>
  </si>
  <si>
    <t>Disbursement Cancellation</t>
  </si>
  <si>
    <t xml:space="preserve"> Disbursement cancellation before due generation: Disbursement entries will be reversed (All charges entries will be reversed).
o Disbursement cancellation after due generation &amp; customer has not paid BPI: 
o Waiver option is required (which will be mandatory process to complete for Loan cancellation) which will show the generated due amount (break-up of principal &amp; interest). User will manually invoke the waiver transaction.
</t>
  </si>
  <si>
    <t>TC_DHFL_Disb_Cancellation_04</t>
  </si>
  <si>
    <t>TC_DHFL_Disb_Cancellation_05</t>
  </si>
  <si>
    <r>
      <t xml:space="preserve">185533, </t>
    </r>
    <r>
      <rPr>
        <sz val="11"/>
        <color rgb="FF000000"/>
        <rFont val="Calibri"/>
        <family val="2"/>
        <scheme val="minor"/>
      </rPr>
      <t>187181</t>
    </r>
  </si>
  <si>
    <t xml:space="preserve"> Disbursement cancellation after due generation &amp; customer has paid BPI: 
o Disbursement entries will be reversed.
o Refund for the paid amount needs to be handled through credit note. User will be able to generate credit note for the closed loan account. 
</t>
  </si>
  <si>
    <t>TC_DHFL_Disb_Cancellation_06</t>
  </si>
  <si>
    <t>Refund Part not covered in Test case but also not identified in Review Process (Functional team)</t>
  </si>
  <si>
    <t>Disbursement cancellation is the process through which user will be able to reverse the disbursement happened on a particular account. Disbursement cancellation is allowed within x days from the disbursement date. Disbursement is cancelled at the request of the customer. Following are the scenarios which are considered -
§  Disbursement cancellation before due generation: Disbursement entries will be reversed (All charges entries will be reversed).
o   Disbursement cancellation after due generation &amp; customer has not paid BPI.
o   Waiver option is required (which will be mandatory process to complete for Loan cancellation) which will show the generated due amount (break-up of principal &amp; interest). User will manually invoke the waiver transaction.</t>
  </si>
  <si>
    <t>TC_DHFL_Disb_Cancellation_02</t>
  </si>
  <si>
    <t>TC_DHFL_Disb_Cancellation_03</t>
  </si>
  <si>
    <r>
      <t>o</t>
    </r>
    <r>
      <rPr>
        <sz val="7"/>
        <color rgb="FF000000"/>
        <rFont val="Times New Roman"/>
        <family val="1"/>
      </rPr>
      <t xml:space="preserve">   </t>
    </r>
    <r>
      <rPr>
        <sz val="12"/>
        <color rgb="FF000000"/>
        <rFont val="Calibri"/>
        <family val="2"/>
      </rPr>
      <t xml:space="preserve">Refund for the paid amount needs to be handled through credit note. User will be able to generate credit note for the closed loan account. </t>
    </r>
  </si>
  <si>
    <t>TC_DHFL_Disb_Cancellation_10</t>
  </si>
  <si>
    <r>
      <t>§</t>
    </r>
    <r>
      <rPr>
        <sz val="7"/>
        <color rgb="FF000000"/>
        <rFont val="Times New Roman"/>
        <family val="1"/>
      </rPr>
      <t xml:space="preserve">  </t>
    </r>
    <r>
      <rPr>
        <sz val="12"/>
        <color rgb="FF000000"/>
        <rFont val="Calibri"/>
        <family val="2"/>
      </rPr>
      <t>In case there were multiple cheques issued as part of disbursement, and one of the cheque is banked while others were not. Then disbursement reversal for the unbanked cheque is required.  In such case, system will not allow the disbursement cancellation.</t>
    </r>
  </si>
  <si>
    <t>TC_DHFL_Disb_Cancellation_07</t>
  </si>
  <si>
    <r>
      <t>§</t>
    </r>
    <r>
      <rPr>
        <sz val="7"/>
        <color rgb="FF000000"/>
        <rFont val="Times New Roman"/>
        <family val="1"/>
      </rPr>
      <t xml:space="preserve">  </t>
    </r>
    <r>
      <rPr>
        <sz val="11"/>
        <color rgb="FF000000"/>
        <rFont val="Calibri"/>
        <family val="2"/>
      </rPr>
      <t>In case disbursement is made through NEFT/RTGS successfully, no disbursement cancellation should not be allowed.  Foreclosure should be done in such cases.</t>
    </r>
  </si>
  <si>
    <t>TC_DHFL_Disb_Cancellation_08</t>
  </si>
  <si>
    <r>
      <t>§</t>
    </r>
    <r>
      <rPr>
        <sz val="7"/>
        <color rgb="FF000000"/>
        <rFont val="Times New Roman"/>
        <family val="1"/>
      </rPr>
      <t xml:space="preserve">  </t>
    </r>
    <r>
      <rPr>
        <sz val="11"/>
        <color rgb="FF000000"/>
        <rFont val="Calibri"/>
        <family val="2"/>
      </rPr>
      <t>Field is required to mark the status of disbursement cheque on screen. User will select the status of disbursement cheque, and it should be mandatory field.</t>
    </r>
  </si>
  <si>
    <t>TC_DHFL_Disb_Cancellation_01</t>
  </si>
  <si>
    <r>
      <t>§</t>
    </r>
    <r>
      <rPr>
        <sz val="7"/>
        <color rgb="FF000000"/>
        <rFont val="Times New Roman"/>
        <family val="1"/>
      </rPr>
      <t xml:space="preserve">  </t>
    </r>
    <r>
      <rPr>
        <sz val="12"/>
        <color rgb="FF000000"/>
        <rFont val="Calibri"/>
        <family val="2"/>
      </rPr>
      <t>The amount to be collected from the customer will be shown on the screen and can be modified and a higher amount can be entered</t>
    </r>
  </si>
  <si>
    <t>TC_DHFL_Disb_Cancellation_11</t>
  </si>
  <si>
    <t>Not covered in Test case but also not identified in Review Process (Functional team)</t>
  </si>
  <si>
    <r>
      <t>§</t>
    </r>
    <r>
      <rPr>
        <sz val="7"/>
        <color rgb="FF000000"/>
        <rFont val="Times New Roman"/>
        <family val="1"/>
      </rPr>
      <t xml:space="preserve">  </t>
    </r>
    <r>
      <rPr>
        <sz val="12"/>
        <color rgb="FF000000"/>
        <rFont val="Calibri"/>
        <family val="2"/>
      </rPr>
      <t>Disbursement Cancellation will not be allowed if transactions are done on loan account such as Part Prepayment, Normal DRE</t>
    </r>
  </si>
  <si>
    <t>TC_DHFL_Disb_Cancellation_12</t>
  </si>
  <si>
    <r>
      <t>§</t>
    </r>
    <r>
      <rPr>
        <sz val="7"/>
        <color rgb="FF000000"/>
        <rFont val="Times New Roman"/>
        <family val="1"/>
      </rPr>
      <t xml:space="preserve">  </t>
    </r>
    <r>
      <rPr>
        <sz val="12"/>
        <color rgb="FF000000"/>
        <rFont val="Calibri"/>
        <family val="2"/>
      </rPr>
      <t xml:space="preserve">Disbursement cancellation will only be allowed for </t>
    </r>
    <r>
      <rPr>
        <b/>
        <sz val="12"/>
        <color rgb="FF000000"/>
        <rFont val="Calibri"/>
        <family val="2"/>
      </rPr>
      <t>latest disbursement</t>
    </r>
    <r>
      <rPr>
        <sz val="12"/>
        <color rgb="FF000000"/>
        <rFont val="Calibri"/>
        <family val="2"/>
      </rPr>
      <t>.</t>
    </r>
  </si>
  <si>
    <t>TC_DHFL_Disb_Cancellation_13</t>
  </si>
  <si>
    <r>
      <t>§</t>
    </r>
    <r>
      <rPr>
        <sz val="7"/>
        <color rgb="FF000000"/>
        <rFont val="Times New Roman"/>
        <family val="1"/>
      </rPr>
      <t xml:space="preserve">  </t>
    </r>
    <r>
      <rPr>
        <sz val="12"/>
        <color rgb="FF000000"/>
        <rFont val="Calibri"/>
        <family val="2"/>
      </rPr>
      <t>If disbursement cheque status is marked as ‘Cleared’, then system should not allow the disbursement cancellation.</t>
    </r>
  </si>
  <si>
    <t>TC_DHFL_Disb_Cancellation_14</t>
  </si>
  <si>
    <r>
      <t>§</t>
    </r>
    <r>
      <rPr>
        <sz val="7"/>
        <color rgb="FF000000"/>
        <rFont val="Times New Roman"/>
        <family val="1"/>
      </rPr>
      <t xml:space="preserve">  </t>
    </r>
    <r>
      <rPr>
        <sz val="12"/>
        <color rgb="FF000000"/>
        <rFont val="Calibri"/>
        <family val="2"/>
      </rPr>
      <t>In case of dues were already paid by the customer, User will be able to issue credit note in case account is closed after disbursement cancellation. Refund process will be allowed on closed loan.</t>
    </r>
  </si>
  <si>
    <t>TC_DHFL_Disb_Cancellation_15</t>
  </si>
  <si>
    <r>
      <t>§</t>
    </r>
    <r>
      <rPr>
        <sz val="7"/>
        <color rgb="FF000000"/>
        <rFont val="Times New Roman"/>
        <family val="1"/>
      </rPr>
      <t xml:space="preserve">  </t>
    </r>
    <r>
      <rPr>
        <sz val="12"/>
        <color rgb="FF000000"/>
        <rFont val="Calibri"/>
        <family val="2"/>
      </rPr>
      <t>The customer request &amp; subsequent approval process will happen in CRM.</t>
    </r>
  </si>
  <si>
    <r>
      <t>§</t>
    </r>
    <r>
      <rPr>
        <sz val="7"/>
        <color rgb="FF000000"/>
        <rFont val="Times New Roman"/>
        <family val="1"/>
      </rPr>
      <t xml:space="preserve">  </t>
    </r>
    <r>
      <rPr>
        <sz val="10"/>
        <color rgb="FF000000"/>
        <rFont val="Arial"/>
        <family val="2"/>
      </rPr>
      <t>In case wherein the insurance payment part is also cancelled, &amp; premium is already paid to the insurance company, then refund from insurance company will be availed and updated in insurance tracker, (outside the LMS). This premium refund then can be allocated to loan access.</t>
    </r>
  </si>
  <si>
    <t>TC_DHFL_Disb_Cancellation_17</t>
  </si>
  <si>
    <r>
      <t>§</t>
    </r>
    <r>
      <rPr>
        <sz val="7"/>
        <color rgb="FF000000"/>
        <rFont val="Times New Roman"/>
        <family val="1"/>
      </rPr>
      <t xml:space="preserve">  </t>
    </r>
    <r>
      <rPr>
        <sz val="11"/>
        <color rgb="FF000000"/>
        <rFont val="Calibri"/>
        <family val="2"/>
      </rPr>
      <t>If any charges are due against the account, then these charges should be waived in order to cancel the disbursement.</t>
    </r>
  </si>
  <si>
    <t>TC_DHFL_Disb_Cancellation_09</t>
  </si>
  <si>
    <r>
      <t>§</t>
    </r>
    <r>
      <rPr>
        <sz val="7"/>
        <color rgb="FF000000"/>
        <rFont val="Times New Roman"/>
        <family val="1"/>
      </rPr>
      <t xml:space="preserve">  </t>
    </r>
    <r>
      <rPr>
        <sz val="11"/>
        <color rgb="FF000000"/>
        <rFont val="Calibri"/>
        <family val="2"/>
      </rPr>
      <t>On Disbursement cancellation, LMS will send information to LOS about the disbursement and tranche for which cancellation has happened.</t>
    </r>
  </si>
  <si>
    <t>TC_DHFL_Disb_Cancellation_18</t>
  </si>
  <si>
    <t>6.10</t>
  </si>
  <si>
    <t>Loan Cancellation</t>
  </si>
  <si>
    <t>Loan cancellation can happen only after first disbursement and the disbursement instrument is not cleared. Otherwise it should be done through foreclosure.
A field “Disbursement cheque status” is required for this purpose, through which user can record the status of cheque. And if the cheque status is cleared, then system should not allow the loan cancellation.</t>
  </si>
  <si>
    <t>TC_DHFL_LCAN_02</t>
  </si>
  <si>
    <t>TC_DHFL_LCAN_03</t>
  </si>
  <si>
    <t>Need to mark Pending in Test case also</t>
  </si>
  <si>
    <r>
      <t>§</t>
    </r>
    <r>
      <rPr>
        <sz val="7"/>
        <color rgb="FF000000"/>
        <rFont val="Times New Roman"/>
        <family val="1"/>
      </rPr>
      <t xml:space="preserve">  </t>
    </r>
    <r>
      <rPr>
        <sz val="12"/>
        <color rgb="FF000000"/>
        <rFont val="Calibri"/>
        <family val="2"/>
      </rPr>
      <t>Loan cancellation can happen only after first disbursement and the disbursement instrument is not banked. If disbursement cheque is cleared, then user should close the loan through foreclosure.</t>
    </r>
  </si>
  <si>
    <t>TC_DHFL_LCAN_01</t>
  </si>
  <si>
    <r>
      <t>§</t>
    </r>
    <r>
      <rPr>
        <sz val="7"/>
        <color rgb="FF000000"/>
        <rFont val="Times New Roman"/>
        <family val="1"/>
      </rPr>
      <t xml:space="preserve">  </t>
    </r>
    <r>
      <rPr>
        <sz val="12"/>
        <color rgb="FF000000"/>
        <rFont val="Calibri"/>
        <family val="2"/>
      </rPr>
      <t>After loan cancellation, no further processing on the loan account is allowed.</t>
    </r>
  </si>
  <si>
    <t>TC_DHFL_LCAN_06</t>
  </si>
  <si>
    <r>
      <t>§</t>
    </r>
    <r>
      <rPr>
        <sz val="7"/>
        <color rgb="FF000000"/>
        <rFont val="Times New Roman"/>
        <family val="1"/>
      </rPr>
      <t xml:space="preserve">  </t>
    </r>
    <r>
      <rPr>
        <sz val="12"/>
        <color rgb="FF000000"/>
        <rFont val="Calibri"/>
        <family val="2"/>
      </rPr>
      <t>Insurance premium refund (if any) can be adjusted through credit note.</t>
    </r>
  </si>
  <si>
    <t>TC_DHFL_LCAN_11</t>
  </si>
  <si>
    <t>No such Test case</t>
  </si>
  <si>
    <r>
      <t>§</t>
    </r>
    <r>
      <rPr>
        <sz val="7"/>
        <color rgb="FF000000"/>
        <rFont val="Times New Roman"/>
        <family val="1"/>
      </rPr>
      <t xml:space="preserve">  </t>
    </r>
    <r>
      <rPr>
        <sz val="11"/>
        <color rgb="FF000000"/>
        <rFont val="Calibri"/>
        <family val="2"/>
      </rPr>
      <t>In case if multiple cheques were issued for disbursement and one of the cheque is cleared. System should not allow loan cancellation, and foreclosure will be done in such case.</t>
    </r>
  </si>
  <si>
    <r>
      <t>§</t>
    </r>
    <r>
      <rPr>
        <sz val="7"/>
        <color rgb="FF000000"/>
        <rFont val="Times New Roman"/>
        <family val="1"/>
      </rPr>
      <t xml:space="preserve">  </t>
    </r>
    <r>
      <rPr>
        <sz val="11"/>
        <color rgb="FF000000"/>
        <rFont val="Calibri"/>
        <family val="2"/>
      </rPr>
      <t>In case disbursement is made thru NEFT/RTGS successfully, no Loan cancellation should be allowed.  Foreclosure should be done in such cases.</t>
    </r>
  </si>
  <si>
    <t>TC_DHFL_LCAN_05</t>
  </si>
  <si>
    <r>
      <t>§</t>
    </r>
    <r>
      <rPr>
        <sz val="7"/>
        <color rgb="FF000000"/>
        <rFont val="Times New Roman"/>
        <family val="1"/>
      </rPr>
      <t xml:space="preserve">  </t>
    </r>
    <r>
      <rPr>
        <sz val="11"/>
        <color rgb="FF000000"/>
        <rFont val="Calibri"/>
        <family val="2"/>
      </rPr>
      <t>If any charge was booked or made due on the account for which disbursement cancellation has been invoked by the user, and the same was unpaid then disbursement cancellation, the same should be waived after the approval.</t>
    </r>
  </si>
  <si>
    <t>TC_DHFL_LCAN_07</t>
  </si>
  <si>
    <r>
      <t>o</t>
    </r>
    <r>
      <rPr>
        <sz val="7"/>
        <color rgb="FF000000"/>
        <rFont val="Times New Roman"/>
        <family val="1"/>
      </rPr>
      <t xml:space="preserve">   </t>
    </r>
    <r>
      <rPr>
        <sz val="11"/>
        <color rgb="FF000000"/>
        <rFont val="Calibri"/>
        <family val="2"/>
      </rPr>
      <t>Loan cancellation happening before 1st due generation. In this case, accounting entries passed at the time of disbursement will be reversed</t>
    </r>
  </si>
  <si>
    <t>TC_DHFL_LCAN_04</t>
  </si>
  <si>
    <r>
      <t>o</t>
    </r>
    <r>
      <rPr>
        <sz val="7"/>
        <color rgb="FF000000"/>
        <rFont val="Times New Roman"/>
        <family val="1"/>
      </rPr>
      <t xml:space="preserve">   </t>
    </r>
    <r>
      <rPr>
        <sz val="12"/>
        <color rgb="FF000000"/>
        <rFont val="Calibri"/>
        <family val="2"/>
      </rPr>
      <t>Loan cancellation happening after 1st due generation but due is not paid by customer. In this case, waiver option is required which will display the due amount generated (principal and interest breakup). Waiver is already approved in CRM and the waiver amount will be always equal to the due amount and the same will not be editable on screen in LMS</t>
    </r>
  </si>
  <si>
    <t>TC_DHFL_LCAN_08</t>
  </si>
  <si>
    <r>
      <t>o</t>
    </r>
    <r>
      <rPr>
        <sz val="7"/>
        <color rgb="FF000000"/>
        <rFont val="Times New Roman"/>
        <family val="1"/>
      </rPr>
      <t xml:space="preserve">   </t>
    </r>
    <r>
      <rPr>
        <sz val="12"/>
        <color rgb="FF000000"/>
        <rFont val="Calibri"/>
        <family val="2"/>
      </rPr>
      <t>Loan Cancellation will not be allowed if transactions are done on loan account such as Part Prepayment, Normal DRE</t>
    </r>
  </si>
  <si>
    <t>TC_DHFL_LCAN_09</t>
  </si>
  <si>
    <t>TC_DHFL_LCAN_10</t>
  </si>
  <si>
    <t>Write off</t>
  </si>
  <si>
    <r>
      <t>§</t>
    </r>
    <r>
      <rPr>
        <sz val="7"/>
        <color rgb="FF000000"/>
        <rFont val="Times New Roman"/>
        <family val="1"/>
      </rPr>
      <t xml:space="preserve">  </t>
    </r>
    <r>
      <rPr>
        <sz val="11"/>
        <color rgb="FF000000"/>
        <rFont val="Calibri"/>
        <family val="2"/>
      </rPr>
      <t>Any live account can be written off once the asset quality is marked as loss either based on DPD or through the specific provisioning screen.</t>
    </r>
  </si>
  <si>
    <t>TC_DHFL_WRO_1</t>
  </si>
  <si>
    <t>TC_DHFL_WRO_2</t>
  </si>
  <si>
    <t>TC_DHFL_WRO_3</t>
  </si>
  <si>
    <r>
      <t>§</t>
    </r>
    <r>
      <rPr>
        <sz val="7"/>
        <color rgb="FF000000"/>
        <rFont val="Times New Roman"/>
        <family val="1"/>
      </rPr>
      <t xml:space="preserve">  </t>
    </r>
    <r>
      <rPr>
        <sz val="12"/>
        <color rgb="FF000000"/>
        <rFont val="Times New Roman"/>
        <family val="1"/>
      </rPr>
      <t>At the time of Write-off transaction, advance EMI amount should be considered for deduction from total outstanding amount automatically. Once the transaction gets processed successfully, advance EMI amount will be moved to excess pool and thereafter payment application should happen</t>
    </r>
  </si>
  <si>
    <t>TC_DHFL_WRO_4</t>
  </si>
  <si>
    <r>
      <t>§</t>
    </r>
    <r>
      <rPr>
        <sz val="7"/>
        <color rgb="FF000000"/>
        <rFont val="Times New Roman"/>
        <family val="1"/>
      </rPr>
      <t xml:space="preserve">  </t>
    </r>
    <r>
      <rPr>
        <sz val="12"/>
        <color rgb="FF000000"/>
        <rFont val="Calibri"/>
        <family val="2"/>
      </rPr>
      <t>TDS receivable amount to be considered while write-off and it will be considered as interest due.</t>
    </r>
  </si>
  <si>
    <t>TC_DHFL_WRO_6</t>
  </si>
  <si>
    <t>Specific Provisioning</t>
  </si>
  <si>
    <t>System provisioning is done based on the loan quality master as described above. It may be required that the user wants to provide for some additional provisioning on some specific loan account. This process allows the user a facility to manually downgrade the asset class of a loan account.</t>
  </si>
  <si>
    <t>User can change the loan quality to a lower asset quality and based on the new loan quality, system will provide for provisioning from that point on. User may also discontinue the specific provisioning done earlier. In such a case, system will determine the loan quality based on the actual DPD for that loan account at that point in time. History of specific provisioning is maintained.</t>
  </si>
  <si>
    <t>History of specific provisioning is maintained.</t>
  </si>
  <si>
    <t>Product Change</t>
  </si>
  <si>
    <r>
      <t>§</t>
    </r>
    <r>
      <rPr>
        <sz val="7"/>
        <color rgb="FF000000"/>
        <rFont val="Times New Roman"/>
        <family val="1"/>
      </rPr>
      <t xml:space="preserve">  </t>
    </r>
    <r>
      <rPr>
        <sz val="11"/>
        <color rgb="FF000000"/>
        <rFont val="Calibri"/>
        <family val="2"/>
      </rPr>
      <t>Product Change to be allowed during skip/moratorium period</t>
    </r>
  </si>
  <si>
    <t>TC_DHFL_PCH01</t>
  </si>
  <si>
    <r>
      <t>§</t>
    </r>
    <r>
      <rPr>
        <sz val="7"/>
        <color rgb="FF000000"/>
        <rFont val="Times New Roman"/>
        <family val="1"/>
      </rPr>
      <t xml:space="preserve">  </t>
    </r>
    <r>
      <rPr>
        <sz val="11"/>
        <color rgb="FF000000"/>
        <rFont val="Calibri"/>
        <family val="2"/>
      </rPr>
      <t>Product Change to be allowed on normal accounts with and without Overdues. In case of with Overdues, Overdues to be carried forward</t>
    </r>
  </si>
  <si>
    <t>TC_DHFL_PCH02</t>
  </si>
  <si>
    <t>TC_DHFL_PCH03</t>
  </si>
  <si>
    <r>
      <t>§</t>
    </r>
    <r>
      <rPr>
        <sz val="7"/>
        <color rgb="FF000000"/>
        <rFont val="Times New Roman"/>
        <family val="1"/>
      </rPr>
      <t xml:space="preserve">  </t>
    </r>
    <r>
      <rPr>
        <sz val="12"/>
        <color rgb="FF000000"/>
        <rFont val="Calibri"/>
        <family val="2"/>
      </rPr>
      <t>Impact of product change to be in EOD of last date of the month on the account and new Amort will be drawn by the system which will be visible from next month 1</t>
    </r>
    <r>
      <rPr>
        <vertAlign val="superscript"/>
        <sz val="12"/>
        <color rgb="FF000000"/>
        <rFont val="Calibri"/>
        <family val="2"/>
      </rPr>
      <t>st</t>
    </r>
  </si>
  <si>
    <t>TC_DHFL_PCH06</t>
  </si>
  <si>
    <r>
      <t>§</t>
    </r>
    <r>
      <rPr>
        <sz val="7"/>
        <color rgb="FF000000"/>
        <rFont val="Times New Roman"/>
        <family val="1"/>
      </rPr>
      <t xml:space="preserve">  </t>
    </r>
    <r>
      <rPr>
        <sz val="12"/>
        <color rgb="FF000000"/>
        <rFont val="Calibri"/>
        <family val="2"/>
      </rPr>
      <t>A new repayment schedule will be generated after product change and existing repayment variations will be removed. If required, repayment variations can be added during product change</t>
    </r>
  </si>
  <si>
    <t>TC_DHFL_PCH07</t>
  </si>
  <si>
    <t>TC_DHFL_PCH08</t>
  </si>
  <si>
    <r>
      <t>189533</t>
    </r>
    <r>
      <rPr>
        <strike/>
        <sz val="10"/>
        <color rgb="FF000000"/>
        <rFont val="Verdana"/>
        <family val="2"/>
      </rPr>
      <t xml:space="preserve">
'185817</t>
    </r>
  </si>
  <si>
    <t>TC_DHFL_PCH09</t>
  </si>
  <si>
    <r>
      <t>185831</t>
    </r>
    <r>
      <rPr>
        <sz val="10"/>
        <color rgb="FF000000"/>
        <rFont val="Verdana"/>
        <family val="2"/>
      </rPr>
      <t xml:space="preserve">
187649</t>
    </r>
  </si>
  <si>
    <r>
      <t>§</t>
    </r>
    <r>
      <rPr>
        <sz val="7"/>
        <color rgb="FF000000"/>
        <rFont val="Times New Roman"/>
        <family val="1"/>
      </rPr>
      <t xml:space="preserve">  </t>
    </r>
    <r>
      <rPr>
        <sz val="12"/>
        <color rgb="FF000000"/>
        <rFont val="Calibri"/>
        <family val="2"/>
      </rPr>
      <t>Transactions to be allowed between product change request date and EOM - Approach to be followed: Cancel reschedule request and perform PP, FP and Settlement transactions.</t>
    </r>
  </si>
  <si>
    <t>TC_DHFL_PCH10
To 
TC_DHFL_PCH21</t>
  </si>
  <si>
    <r>
      <t>§</t>
    </r>
    <r>
      <rPr>
        <sz val="7"/>
        <color rgb="FF000000"/>
        <rFont val="Times New Roman"/>
        <family val="1"/>
      </rPr>
      <t xml:space="preserve">  </t>
    </r>
    <r>
      <rPr>
        <sz val="12"/>
        <color rgb="FF000000"/>
        <rFont val="Calibri"/>
        <family val="2"/>
      </rPr>
      <t>Product Change request cancellation before EOM to be available in system if any transaction is required to be done. If request is not cancelled, then system will not allow any other transaction</t>
    </r>
  </si>
  <si>
    <t xml:space="preserve">TC_DHFL_PCH22
To
TC_DHFL_PCH33
</t>
  </si>
  <si>
    <r>
      <t>§</t>
    </r>
    <r>
      <rPr>
        <sz val="7"/>
        <color rgb="FF000000"/>
        <rFont val="Times New Roman"/>
        <family val="1"/>
      </rPr>
      <t xml:space="preserve">  </t>
    </r>
    <r>
      <rPr>
        <sz val="12"/>
        <color rgb="FF000000"/>
        <rFont val="Calibri"/>
        <family val="2"/>
      </rPr>
      <t>Product Change not allowed if Part Prepayment cheque is not cleared</t>
    </r>
  </si>
  <si>
    <t xml:space="preserve">TC_DHFL_PCH34
</t>
  </si>
  <si>
    <r>
      <t>§</t>
    </r>
    <r>
      <rPr>
        <sz val="7"/>
        <color rgb="FF000000"/>
        <rFont val="Times New Roman"/>
        <family val="1"/>
      </rPr>
      <t xml:space="preserve">  </t>
    </r>
    <r>
      <rPr>
        <sz val="12"/>
        <color rgb="FF000000"/>
        <rFont val="Calibri"/>
        <family val="2"/>
      </rPr>
      <t>Product change is not allowed in case any transactions are pending on the loan account.</t>
    </r>
  </si>
  <si>
    <t>TC_DHFL_PCH35</t>
  </si>
  <si>
    <t>TC_DHFL_PCH36</t>
  </si>
  <si>
    <r>
      <t>§</t>
    </r>
    <r>
      <rPr>
        <sz val="7"/>
        <color rgb="FF000000"/>
        <rFont val="Times New Roman"/>
        <family val="1"/>
      </rPr>
      <t xml:space="preserve">  </t>
    </r>
    <r>
      <rPr>
        <sz val="12"/>
        <color rgb="FF000000"/>
        <rFont val="Calibri"/>
        <family val="2"/>
      </rPr>
      <t>No payment to collected during product change</t>
    </r>
  </si>
  <si>
    <t>TC_DHFL_PCH37</t>
  </si>
  <si>
    <r>
      <t>§</t>
    </r>
    <r>
      <rPr>
        <sz val="7"/>
        <color rgb="FF000000"/>
        <rFont val="Times New Roman"/>
        <family val="1"/>
      </rPr>
      <t xml:space="preserve">  </t>
    </r>
    <r>
      <rPr>
        <sz val="12"/>
        <color rgb="FF000000"/>
        <rFont val="Calibri"/>
        <family val="2"/>
      </rPr>
      <t>Account number will not change after product change</t>
    </r>
  </si>
  <si>
    <t>TC_DHFL_PCH38</t>
  </si>
  <si>
    <r>
      <t>§</t>
    </r>
    <r>
      <rPr>
        <sz val="7"/>
        <color rgb="FF000000"/>
        <rFont val="Times New Roman"/>
        <family val="1"/>
      </rPr>
      <t xml:space="preserve">  </t>
    </r>
    <r>
      <rPr>
        <sz val="12"/>
        <color rgb="FF000000"/>
        <rFont val="Calibri"/>
        <family val="2"/>
      </rPr>
      <t>Product change will be allowed on partially disbursed accounts</t>
    </r>
  </si>
  <si>
    <t>TC_DHFL_PCH39</t>
  </si>
  <si>
    <r>
      <t>§</t>
    </r>
    <r>
      <rPr>
        <sz val="7"/>
        <color rgb="FF000000"/>
        <rFont val="Times New Roman"/>
        <family val="1"/>
      </rPr>
      <t xml:space="preserve">  </t>
    </r>
    <r>
      <rPr>
        <sz val="12"/>
        <color rgb="FF000000"/>
        <rFont val="Calibri"/>
        <family val="2"/>
      </rPr>
      <t>After product change, new provisioning will be done based on provisioning rate defined at new product level, else portfolio level to be referred</t>
    </r>
  </si>
  <si>
    <t>TC_DHFL_PCH40</t>
  </si>
  <si>
    <t>TC_DHFL_PCH41</t>
  </si>
  <si>
    <r>
      <t>§</t>
    </r>
    <r>
      <rPr>
        <sz val="7"/>
        <color rgb="FF000000"/>
        <rFont val="Times New Roman"/>
        <family val="1"/>
      </rPr>
      <t xml:space="preserve">  </t>
    </r>
    <r>
      <rPr>
        <sz val="12"/>
        <color rgb="FF000000"/>
        <rFont val="Calibri"/>
        <family val="2"/>
      </rPr>
      <t>Following parameters to be checked at the time of product change - 
o   Min / Max Loan Amount
o   Min / Max Loan tenor
o   Age of the Borrower
o   Max LTV / LCR
If product change is restricted based on any of these parameters, then user will close the loan and open in under the correct product through LOS.</t>
    </r>
  </si>
  <si>
    <t>TC_DHFL_PCH50</t>
  </si>
  <si>
    <t>Asset Details Edit</t>
  </si>
  <si>
    <t>As per the description in key common points.</t>
  </si>
  <si>
    <t>6.20</t>
  </si>
  <si>
    <t>Account Overview</t>
  </si>
  <si>
    <t xml:space="preserve">The account overview screen will provide the users with a snapshot of the account information. It will include a snapshot of Account Details, Due Details, Address Details, Asset details of the account.
Additional Field is required to display the Lead ID of the loan account.
</t>
  </si>
  <si>
    <t>TC_DHFL_AO02</t>
  </si>
  <si>
    <t>TDS Applicability &amp; Calculation</t>
  </si>
  <si>
    <t xml:space="preserve">Lower TDS Deduction – 
1. New screen is required to update the Lower TDS deduction applicable flag, Lower TDS rate, and other details. 
2. If this flag is marked as Y, then system will consider the Lower TDS rate as TDS rate for the TDS calculation purpose. 
3. TDS certificate, TDS reversal, TDS refund functions - no impact due to this.
3. Lower TDS details will be updated LAN wise.
4. Any points not mentioned or related to identification of such loan accounts, will be manually done outside the system.
</t>
  </si>
  <si>
    <t>TC_DHFL_TDSAPL_01</t>
  </si>
  <si>
    <t>TC_DHFL_TDSAPL_02</t>
  </si>
  <si>
    <t>TDS calculation – TDS amount will be calculated as follows: Interest Amount of the Installment * TDS Rate</t>
  </si>
  <si>
    <t>TC_DHFL_TDSAPL_04</t>
  </si>
  <si>
    <t>The frequency for TDS calculation will be same as interest repayment frequency</t>
  </si>
  <si>
    <t>TC_DHFL_TDSAPL_05</t>
  </si>
  <si>
    <t>Due Generation will happen for entire amount</t>
  </si>
  <si>
    <t>TC_DHFL_TDSAPL_06</t>
  </si>
  <si>
    <t>TDS related accounting entries will be passed on payment application against the full interest portion of the installment.</t>
  </si>
  <si>
    <t>TC_DHFL_TDSAPL_15</t>
  </si>
  <si>
    <t>TDS will be calculated if account become NPA if applicability is set for NPA accounts</t>
  </si>
  <si>
    <t>TC_DHFL_TDSAPL_16</t>
  </si>
  <si>
    <t>New TDS rate will be applicable from next installment</t>
  </si>
  <si>
    <t>Handling of TDS on PDC Entry Screen:  Receivables amount on PDC screen should show Net of TDS amount i.e. Installment Amount – Expected TDS Amount for that installment</t>
  </si>
  <si>
    <t>TC_DHFL_TDSAPL_07</t>
  </si>
  <si>
    <t>In case TDS rate changes after PDC creation and in between the loan tenor, the remaining PDCs will not be automatically cancelled since it will be operationally controlled by user that no amount and date is written on PDCs taken from customer. However, on PDC screen, TDS amount should be recalculated.</t>
  </si>
  <si>
    <t>TC_DHFL_TDSAPL_08</t>
  </si>
  <si>
    <t>Loan Schedule displayed in screen should also show recalculated TDS amount</t>
  </si>
  <si>
    <t>TC_DHFL_TDSAPL_03</t>
  </si>
  <si>
    <t>Handling of TDS on Mandate Batch Creation: Mandate batch will be created for the installment amount less of TDS amount expected for that installment</t>
  </si>
  <si>
    <t>TC_DHFL_TDSAPL_11</t>
  </si>
  <si>
    <t>If the instrument is in clearing process, and before running EOD, TDS rate is changed, then TDS amount will be calculated based on new TDS rate at the time of actual payment application. After EOD running, payment will be applied as per changed TDS rate. The difference in old TDS amount &amp; revised TDS amount (if any) will be displayed in Dues</t>
  </si>
  <si>
    <t>TC_DHFL_TDSAPL_10</t>
  </si>
  <si>
    <t>Invalid</t>
  </si>
  <si>
    <t>In case of Part Prepayment, no interest calculation is done since impact of Part Prepayment is given from next month hence TDS calculation is not applicable</t>
  </si>
  <si>
    <t>TC_DHFL_TDSAPL_12</t>
  </si>
  <si>
    <t>TDS will not be applicable in case of PEMIs.</t>
  </si>
  <si>
    <t>TC_DHFL_TDSAPL_09</t>
  </si>
  <si>
    <t>186898
187518</t>
  </si>
  <si>
    <t>In case of Full Prepayment, there will be no TDS calculation that is required to be done on the calculated interest portion</t>
  </si>
  <si>
    <t>TC_DHFL_TDSAPL_13</t>
  </si>
  <si>
    <t>TDS will be applicable for the loan account, in case either or all of applicant/co-applicants is/are non-individuals. It won’t be applicable for guarantor.
E.g. Full Prepayment is done on 20th Jan and Interest is collected from customer till 20th Jan. In this case, no TDS calculation is required to be done</t>
  </si>
  <si>
    <t>TC_DHFL_TDSAPL_14</t>
  </si>
  <si>
    <t>6.21.1</t>
  </si>
  <si>
    <t>TDS Certificate Receipt</t>
  </si>
  <si>
    <t xml:space="preserve">Process - 
 User will receive TDS certificate and will input TDS certificate receipt amount against loan account
 User will then input TDS receipt amount against each month where TDS amount is receivable
 The total amount inputted by the user can be less or equal to certificate receipt amount
 If it is less than certificate receipt amount than excess amount will be displayed for which no accounting will be done
</t>
  </si>
  <si>
    <t>TC_DHFL_TDSRCT_07</t>
  </si>
  <si>
    <t>TC_DHFL_TDSRCT_02</t>
  </si>
  <si>
    <t>Month wise TDS receivable breakup should be shown</t>
  </si>
  <si>
    <t>TC_DHFL_TDSRCT_09</t>
  </si>
  <si>
    <t>TDS certificate receipt amount entered against loan account under a customer can be less or greater than the actual TDS Receivable Amount</t>
  </si>
  <si>
    <t xml:space="preserve">TC_DHFL_TDSRCT_07
</t>
  </si>
  <si>
    <t>If greater than TDS excess amount will be displayed. No accounting will be passed for the same</t>
  </si>
  <si>
    <t>TC_DHFL_TDSRCT_08</t>
  </si>
  <si>
    <t>Excess amount to be adjusted automatically as and when TDS receivable is generated but not beyond current financial year in which TDS certificate is received. This excess cannot be adjusted against any other dues i.e. principal, interest and/ or charges</t>
  </si>
  <si>
    <t>TC_DHFL_TDSRCT_10</t>
  </si>
  <si>
    <t>Excess amount cannot be refunded</t>
  </si>
  <si>
    <t>TC_DHFL_TDSRCT_14</t>
  </si>
  <si>
    <t>TDS receipt can be accepted for last Financial Year as well as current financial year</t>
  </si>
  <si>
    <t>TC_DHFL_TDSRCT_15</t>
  </si>
  <si>
    <t>For e.g. Customer can submit TDS certificate for the month of Dec 2015 in Apr 2016</t>
  </si>
  <si>
    <t>‘0’ amount not accepted on save</t>
  </si>
  <si>
    <t>TC_DHFL_TDSRCT_11</t>
  </si>
  <si>
    <t>TDS certificate Receipt Amount cannot be blank on save</t>
  </si>
  <si>
    <t>6.21.2</t>
  </si>
  <si>
    <t>TDS Reversal</t>
  </si>
  <si>
    <t>TDS reversal to be allowed against each month which can be beyond financial year</t>
  </si>
  <si>
    <t>TC_DHFL_TDSRVL_10</t>
  </si>
  <si>
    <t>Once TDS is reversed, the same will be raised against interest dues and penal will be applied thereafter</t>
  </si>
  <si>
    <t>TC_DHFL_TDSRVL_04</t>
  </si>
  <si>
    <t>TDS cannot be raised again once cancelled/ reversed for a particular month</t>
  </si>
  <si>
    <t>TC_DHFL_TDSRVL_09</t>
  </si>
  <si>
    <t>6.21.3</t>
  </si>
  <si>
    <t>TDS Refund</t>
  </si>
  <si>
    <t>TDS Refund to be allowed against a particular month which can be beyond financial year</t>
  </si>
  <si>
    <t>TC_DHFL_TDSRFND_03</t>
  </si>
  <si>
    <t>TDS calculation – TDS amount will be calculated as follows – Interest Amount of the Installment * TDS Rate</t>
  </si>
  <si>
    <t>If interest is due, then refund is allowed to the extent of interest paid</t>
  </si>
  <si>
    <t>TC_DHFL_TDSRFND_07</t>
  </si>
  <si>
    <t>Accounting entries for consolidated TDS refund amount will be passed</t>
  </si>
  <si>
    <t>The amount of interest will be moved to excess pool for refund</t>
  </si>
  <si>
    <t>TC_DHFL_TDSRFND_05</t>
  </si>
  <si>
    <t>6.21.4</t>
  </si>
  <si>
    <t>TDS Tracker</t>
  </si>
  <si>
    <t>TDS tracker will provide the TDS related transaction pertaining to the selected loan account.</t>
  </si>
  <si>
    <t>TC_DHFL_TDSTKR_01</t>
  </si>
  <si>
    <t>TC_DHFL_TDSTKR_02</t>
  </si>
  <si>
    <t>TC_DHFL_TDSTKR_03</t>
  </si>
  <si>
    <t>TC_DHFL_TDSTKR_04</t>
  </si>
  <si>
    <t>Check Payment Apportion logic for  for STD Case with PDC=100%  and ECS = 70%</t>
  </si>
  <si>
    <t>TC_DHFL_PAL_05</t>
  </si>
  <si>
    <t>Check Payment Apportion logic for STD Case with DRE Cheque=70%  and NACH = 30%</t>
  </si>
  <si>
    <t>TC_DHFL_PAL_06</t>
  </si>
  <si>
    <t>Check Payment Apportion logic for NPA  Case with DDM=70%  and PDC = 30%</t>
  </si>
  <si>
    <t>TC_DHFL_PAL_07</t>
  </si>
  <si>
    <t>Check Payment Apportion logic for NPA Case with NACH=100%  and ECS = 70%</t>
  </si>
  <si>
    <t>TC_DHFL_PAL_08</t>
  </si>
  <si>
    <t>177381, 182556</t>
  </si>
  <si>
    <t>Check Charge Apportionment for STD cases with dues when multiple Manual charge is booked on different dates and partial charges are paid</t>
  </si>
  <si>
    <t>TC_DHFL_PAL_09</t>
  </si>
  <si>
    <t>Check Charge Apportionment for NPA cases with dues when multiple Manual charge is booked on different dates and amount paid is greater than total overdue amount</t>
  </si>
  <si>
    <t>TC_DHFL_PAL_10</t>
  </si>
  <si>
    <t>E Payment Mandate Registeration</t>
  </si>
  <si>
    <t xml:space="preserve">Check the mandate status update from "Approved and Mandate Not Received" to ‘Approved and Mandate Received’ </t>
  </si>
  <si>
    <t>TC_DHFL_EPAY_04</t>
  </si>
  <si>
    <t>Check the Bulk mandate Registration Download Template for ECS</t>
  </si>
  <si>
    <t>Check the Bulk mandate Registration Download Template for NACH &amp; NACH UMRN</t>
  </si>
  <si>
    <t>TC_DHFL_EPAY_15</t>
  </si>
  <si>
    <t>Check the Bulk mandate Registration Download Template for DDM</t>
  </si>
  <si>
    <t>TC_DHFL_EPAY_16</t>
  </si>
  <si>
    <t>Check the Bulk mandate Registration Upload Template is correct &amp; same as Download template for ,ECS,NACH,NACH UMRN &amp; DDM such that bulk mandate Upload is succesful on Downloaded Format</t>
  </si>
  <si>
    <t>TC_DHFL_EPAY_17</t>
  </si>
  <si>
    <t>E Payment Registeration Setup</t>
  </si>
  <si>
    <t>Check whether Frequency code and Category code is been removed from the e-payment setup screen since the same is not required by DHFL.</t>
  </si>
  <si>
    <t>TC_DHFL_EPAY_SETUP_01</t>
  </si>
  <si>
    <t>For mandate Setup for E-payment Mode = NACH, check whether UMRN and Scheme reference number are Non-mandatory</t>
  </si>
  <si>
    <t>TC_DHFL_EPAY_SETUP_02</t>
  </si>
  <si>
    <t>Mandate to be printed from E Payment screen. Formats regarding the same are as –
DHFL – Full ECS form</t>
  </si>
  <si>
    <t>TC_DHFL_EPAY_SETUP_03</t>
  </si>
  <si>
    <t xml:space="preserve">Check the functionallity of ‘Until cancelled’ field &amp; ‘Till Date’ field </t>
  </si>
  <si>
    <t>TC_DHFL_EPAY_SETUP_05</t>
  </si>
  <si>
    <t>To Check the functionallity of max Ceiling Amount Field</t>
  </si>
  <si>
    <t>TC_DHFL_EPAY_SETUP_06</t>
  </si>
  <si>
    <t>To Check the renaming label values of old fields "Next due date" and "end due date" into new Label Field names as "Next cycle date" &amp; "End cycle date"</t>
  </si>
  <si>
    <t>TC_DHFL_EPAY_SETUP_07</t>
  </si>
  <si>
    <t>Check the functionallity of Banks Field via pop Search option</t>
  </si>
  <si>
    <t>TC_DHFL_EPAY_SETUP_08</t>
  </si>
  <si>
    <t>Verify Following points hold true pertaining to the e-payment set-up Hold screen &amp; Bulk Status Upload – 
Date field to be made non-mandatory and only hold flag to be provided with reason.</t>
  </si>
  <si>
    <t>TC_DHFL_EPAY_SETUP_10</t>
  </si>
  <si>
    <t>Check the Reports for mandate requests downloaded at Indus Configurable database server.</t>
  </si>
  <si>
    <t>TC_DHFL_EPAY_SETUP_11</t>
  </si>
  <si>
    <r>
      <t>Check the bank details Flag(</t>
    </r>
    <r>
      <rPr>
        <b/>
        <sz val="11"/>
        <color rgb="FF000000"/>
        <rFont val="Calibri"/>
        <family val="2"/>
        <scheme val="minor"/>
      </rPr>
      <t>Use for Repayment</t>
    </r>
    <r>
      <rPr>
        <sz val="11"/>
        <color rgb="FF000000"/>
        <rFont val="Calibri"/>
        <family val="2"/>
        <scheme val="minor"/>
      </rPr>
      <t>) added from Customer Overview is going to apply in IFSC code field at E-payment screen</t>
    </r>
  </si>
  <si>
    <t>TC_DHFL_EPAY_SETUP_12</t>
  </si>
  <si>
    <t>Check Part prepayment with Excess created</t>
  </si>
  <si>
    <t xml:space="preserve">Check Part prepayment for PEMI case </t>
  </si>
  <si>
    <t>Check Reschedule activity can be performed using backdated value</t>
  </si>
  <si>
    <t>TC_DHFL_RS_11</t>
  </si>
  <si>
    <r>
      <t xml:space="preserve">182195, </t>
    </r>
    <r>
      <rPr>
        <sz val="11"/>
        <color rgb="FF000000"/>
        <rFont val="Calibri"/>
        <family val="2"/>
        <scheme val="minor"/>
      </rPr>
      <t>183746</t>
    </r>
  </si>
  <si>
    <t>TC_DHFL_RS_12</t>
  </si>
  <si>
    <r>
      <t>183762</t>
    </r>
    <r>
      <rPr>
        <strike/>
        <sz val="11"/>
        <color rgb="FF000000"/>
        <rFont val="Calibri"/>
        <family val="2"/>
        <scheme val="minor"/>
      </rPr>
      <t xml:space="preserve">
182195</t>
    </r>
  </si>
  <si>
    <t>Auto Product Change</t>
  </si>
  <si>
    <t xml:space="preserve">To verify that following fields are available on the screen:-
Scheduled commencement date, 
Schedule Construction date 
actual commencement date, 
actual construction date.  </t>
  </si>
  <si>
    <t>TC_Auto Product Change_01</t>
  </si>
  <si>
    <t>To verify that During disb provided date is disaplyed on history Screen</t>
  </si>
  <si>
    <t>TC_Auto Product Change_02</t>
  </si>
  <si>
    <t>To verify that on  History screen  New Entry is updated</t>
  </si>
  <si>
    <t>TC_Auto Product Change_03</t>
  </si>
  <si>
    <t xml:space="preserve">To verify that System  displays schedule commencement date and schedule completion date in construction details screen if case push through LOS </t>
  </si>
  <si>
    <t>TC_Auto Product Change_04</t>
  </si>
  <si>
    <t>1. Change Schedule commencement Date 
2. Again Change Schedule commencement Date 
3. Change Schedule Completion Date Date 
To verify that Every time system is adding new row on History screen to display last updated values</t>
  </si>
  <si>
    <t>TC_Auto Product Change_05</t>
  </si>
  <si>
    <t>1.Enter Actual Completion Date
To verify that system does not allow to enter Actual Completion Date before Actual Commencement date
To verify system is giving validation for Actual Completion Date if it is  greater than business date</t>
  </si>
  <si>
    <t>TC_Auto Product Change_06</t>
  </si>
  <si>
    <t>1.Enter Actual Completion Date greater than business date
To verify system is giving validation for Actual Completion Date if it is  greater than business date</t>
  </si>
  <si>
    <t>TC_Auto Product Change_07</t>
  </si>
  <si>
    <t>1.Consider that Actual Commencement Date is already entered
To verify that system  allow to enter Actual Completion Date after  Actual Commencement date</t>
  </si>
  <si>
    <t>TC_Auto Product Change_08</t>
  </si>
  <si>
    <t>1.Enter Actual commencement Date greater than business date
To verify system is giving validation for Actual commencement Date if it is  greater than business date</t>
  </si>
  <si>
    <t>TC_Auto Product Change_09</t>
  </si>
  <si>
    <t>1. Select Laon Account
2. Without update Schedule Commencement Date, Run EOD Till 2nd Sep 2017
To verify that system  change product of the loan account as "Plot" and differential interest is calculated and marked as due. 
To Verify the Account overview, Differential Interest, Schedule Details, Product change History and Accounting Entrires</t>
  </si>
  <si>
    <t>TC_Auto Product Change_10</t>
  </si>
  <si>
    <t xml:space="preserve">1. Select Laon Account
2. Without update Schedule Completion Date, Run EOD Till 2nd Sep 2019
To verify that system  change product of the loan account as "Plot" and differential interest is calculated and marked as due.
To Verify the Account overview, Differential Interest, Schedule Details, Product change History and Accounting Entrires </t>
  </si>
  <si>
    <t>TC_Auto Product Change_11</t>
  </si>
  <si>
    <t>1) actual commencement date - Not updated
    Verify that System perform auto change product on account
   To Verify the Account overview, Differential Interest, Schedule Details, Product change History and Accounting Entrires
2) actual Completion  date - Not updated
    To verify that System does not change product, it will change only one time to Plot</t>
  </si>
  <si>
    <t>TC_Auto Product Change_12</t>
  </si>
  <si>
    <t>1. Select Laon Account
2. Without update Schedule Commencement Date, Run EOD Till 2nd Sep 2017
3. To Verify the Account overview, Differential Interest, Schedule Details, Product change History and Accounting Entrires
Following differential interest accounting verifications get genearte:-
Interest Receivable A/c – Dr.
To Interest Incom A/c –Cr.</t>
  </si>
  <si>
    <t>TC_Auto Product Change_13</t>
  </si>
  <si>
    <t>To verify that EOD Reports Configuration parameter available</t>
  </si>
  <si>
    <t>TC_Auto Product Change_14</t>
  </si>
  <si>
    <t>1. Run EOD Till 2nd Aug 2017
To verify that Product change is not perform on loan account</t>
  </si>
  <si>
    <t>TC_Auto Product Change_15</t>
  </si>
  <si>
    <t>1. Run EOD Till 2nd Aug 2017
To verify that Product change is not perform on loan account
2. Run EOD Till 2nd Sep 2019
To verify that Product change is not perform on loan account</t>
  </si>
  <si>
    <t>TC_Auto Product Change_16</t>
  </si>
  <si>
    <t>1) run EOD till 1st Sep 2017
To verify that Product change is not perform on loan account
2) Now, Run EOD till 6th sep 2017
To verify that system  is considering new updated schedule commencement date to change product
To Verify the Account overview, Differential Interest, Schedule Details, Product change History and Accounting Entrires</t>
  </si>
  <si>
    <t>TC_Auto Product Change_17</t>
  </si>
  <si>
    <t>1) run EOD till 1st Sep 2017
To verify that Product change is not perform on loan account
2) Now, Run EOD till 6th sep 2019
To verify that system  is considering new updated schedule Completion date to change product
To Verify the Account overview, Differential Interest, Schedule Details, Product change History and Accounting Entrires</t>
  </si>
  <si>
    <t>TC_Auto Product Change_18</t>
  </si>
  <si>
    <t xml:space="preserve">To verify that System validate that Schedule Completion Date cannot be greater than Tenor End Date </t>
  </si>
  <si>
    <t>TC_Auto Product Change_19</t>
  </si>
  <si>
    <t xml:space="preserve">To verify that System validate during disb that  Schedule Completion Date cannot be greater than Tenor End Date </t>
  </si>
  <si>
    <t>TC_Auto Product Change_20</t>
  </si>
  <si>
    <t>1. Make Product Change on 1 sep 2017
2. Withount update Schedule commencement  date, Run EOD for 1 day
To verify that Auto Product Change happen after normal Product Change 
To Verify the Account overview, Differential Interest, Schedule Details, Product change History and Accounting Entrires</t>
  </si>
  <si>
    <t>TC_Auto Product Change_21</t>
  </si>
  <si>
    <t>1.To verify that Auto Product Change get perform on the loan account on 16 Aug 2018 EOD
2.To verify that Repayment Frequency of the loan account is Quaterly
3.To verify that BPI from the previous installment date till business date is calculated and capitalize on EOD
4.To verify that BPI entry  available on transaction  history screen.
5.To verify that Schedule Details is updated properly with the variation continue.
6.To verify that Future Principal is updated properly.
7.Generate accounting entries
8.To verify that Accounting entries of BPI ,Future Principal,auto product change entries generate and are correct.
9.Perform Reschedule after some days
10.To verify that Reschedule get perform on the loan account , Schedule details,history updates properly</t>
  </si>
  <si>
    <t>TC_Auto Product Change_22</t>
  </si>
  <si>
    <t>1.To verify that Auto Product Change get perform on the loan account on16 Aug 2018 EOD
2.To verify that Repayment Frequency of the loan account is half yearly
3.To verify that Schedule Details is updated properly with the variation continue.
4.Generate accounting entries
5.To verify that Accounting entries of auto product change entries generate and are correct</t>
  </si>
  <si>
    <t>TC_Auto Product Change_24</t>
  </si>
  <si>
    <t>1. Select Sub loan and other details from construction details screen.
2. Without update schedule commencement date, Run EOD Till 2nd Sep 2017
     To verify that Auto Product Change get perform on the subloan account 1
     To Verify the Account overview, Differential Interest, Schedule Details, Product change History and Accounting Entrires
3. Now , Run EOD till 11 sep 2017
     To verify that Auto Product Change get perform on the subloan account 2
     To Verify the Account overview, Differential Interest, Schedule Details, Product change History and Accounting Entrires</t>
  </si>
  <si>
    <t>TC_Auto Product Change_25</t>
  </si>
  <si>
    <t>To verify that Actual Commencement  and Completion Date is non mandatory</t>
  </si>
  <si>
    <t>TC_Auto Product Change_26</t>
  </si>
  <si>
    <t>To verify that system does not validate for Schedule Commencement date - Greater than or equal to business date</t>
  </si>
  <si>
    <t>TC_Auto Product Change_27</t>
  </si>
  <si>
    <t>To verify that system does  validate for Schedule Commencement date less than business date</t>
  </si>
  <si>
    <t>TC_Auto Product Change_28</t>
  </si>
  <si>
    <t>To verify that user is able to change the already entered date</t>
  </si>
  <si>
    <t>TC_Auto Product Change_29</t>
  </si>
  <si>
    <t>To verify that system does not validate for Schedule Completion date - Greater than or equal to Schedule Commencement date</t>
  </si>
  <si>
    <t>TC_Auto Product Change_30</t>
  </si>
  <si>
    <t>To verify that system does  validate for Schedule Completion date less than Schedule Commencement date</t>
  </si>
  <si>
    <t>TC_Auto Product Change_31</t>
  </si>
  <si>
    <t>To verify that system does  validate for Actual Commencement date less than Schedule commencement date</t>
  </si>
  <si>
    <t>TC_Auto Product Change_32</t>
  </si>
  <si>
    <t>To verify that system does not validate for Actual Completion date - less than Schedule Completion date</t>
  </si>
  <si>
    <t>TC_Auto Product Change_33</t>
  </si>
  <si>
    <t>1.To verify that Auto Product Change get perform on the loan account on 01 Feb 2018 EOD
2.To verify that Repayment Frequency of the loan account is Monthly
3.To verify that Schedule Details is updated properly with the New Ineterst Rate.
4.Generate accounting entries
5.To verify that Accounting entries of auto product change entries generate and are correct.</t>
  </si>
  <si>
    <t>TC_Auto Product Change_34</t>
  </si>
  <si>
    <t>1. Select Sub loan and other details from construction details screen.
2. Without update schedule commencement date, Run EOD Till 2nd Sep 2017
     To verify that Auto Product Change get perform on the subloan account 1
     To Verify the Account overview, Differential Interest, Schedule Details, Product change History and Accounting Entrires
3. Now , Run EOD till 11 sep 2017
     To verify that Auto Product Change get perform on the subloan account 2
     To Verify the Account overview, Differential Interest, Schedule Details, Product change History and Accounting Entrires
3. Now , Run EOD till 16 sep 2017
     To verify that Auto Product Change get perform on the subloan account 3
     To Verify the Account overview, Differential Interest, Schedule Details, Product change History and Accounting Entrires</t>
  </si>
  <si>
    <t>TC_Auto Product Change_35</t>
  </si>
  <si>
    <t xml:space="preserve">1. Make 2nd Disb On 25 Sep 2017
2. Run EOD till 10 Oct 2017
3. Don't Update the Actual commencement date
4. Run 1 Day EOD
    Verify that Auto product change is perform on loan account
    Verify the Differential interest
</t>
  </si>
  <si>
    <t>TC_Auto Product Change_36</t>
  </si>
  <si>
    <t>To verify that Sub Loan Account no.. is a pop search and it is not available in case no mulplitle loan account</t>
  </si>
  <si>
    <t>TC_Auto Product Change_38</t>
  </si>
  <si>
    <t>To verify that Sub Loan Account no.. is available in case of multiple loan account sub loan account number is available for selection and is mandatory</t>
  </si>
  <si>
    <t>TC_Auto Product Change_39</t>
  </si>
  <si>
    <t>To verify that Schedule Commencement  and Completion Date is mandatory</t>
  </si>
  <si>
    <t>TC_Auto Product Change_40</t>
  </si>
  <si>
    <t>To verify that user is able to enter the remarks</t>
  </si>
  <si>
    <t>TC_Auto Product Change_41</t>
  </si>
  <si>
    <t>1.To verify that user is able to upload document/s.
2.To verify that Document upload is non mandatory</t>
  </si>
  <si>
    <t>TC_Auto Product Change_42</t>
  </si>
  <si>
    <t>To verify that system autopopulates the date  - details  before change is displayed</t>
  </si>
  <si>
    <t>TC_Auto Product Change_43</t>
  </si>
  <si>
    <t>TC_Auto Product Change_44</t>
  </si>
  <si>
    <t>To verify that system autopopulates the date - details  before change is displayed</t>
  </si>
  <si>
    <t>TC_Auto Product Change_45</t>
  </si>
  <si>
    <t>TC_Auto Product Change_46</t>
  </si>
  <si>
    <t>To verify that system autopopulates remarks details  before change is displayed</t>
  </si>
  <si>
    <t>TC_Auto Product Change_47</t>
  </si>
  <si>
    <t>To verify that user  name who changed the data is displayed/autopopulate</t>
  </si>
  <si>
    <t>TC_Auto Product Change_48</t>
  </si>
  <si>
    <t>To verify that date on which  changes were made are displayed/autopopulate</t>
  </si>
  <si>
    <t>TC_Auto Product Change_49</t>
  </si>
  <si>
    <t>1.To verify that Auto Product Change get perform on the loan account on 26 Mar 2018 EOD
2.To verify that Repayment Frequency of the loan account is Monthly, 
3. To Verify that, Differential interest is not getting calculated 
3.To verify that Schedule Details is updated properly with the New Ineterst Rate and previous opt variation
4.Generate accounting entries
5.To verify that Accounting entries of auto product change entries generate and are correct.</t>
  </si>
  <si>
    <t>TC_Auto Product Change_52</t>
  </si>
  <si>
    <t>1. On Date - 21 Mar 2018, Go on generete Report screen
2. Select the Business Unit
3. Enter the No Of Days
4.Click on Printo 
Verify that Schedule commencement report is getting Genereted 
Verify that Schedule commencement report is correct</t>
  </si>
  <si>
    <t>TC_Auto Product Change_53</t>
  </si>
  <si>
    <t>To Verify that, After Auto Product Change Schedule Commencement Report is not getting generated</t>
  </si>
  <si>
    <t>TC_Auto Product Change_54</t>
  </si>
  <si>
    <t>To Verify that, After Auto Product Change Schedule Completion Report is not getting generated</t>
  </si>
  <si>
    <t>TC_Auto Product Change_55</t>
  </si>
  <si>
    <t>1. On Date - 10 Aug  2017, Go on generete Report screen
2. Select the Business Unit
3. Enter the No Of Days
4.Click on Print 
Verify that Schedule Completion report is getting Genereted 
Verify that Schedule Completion report is correct</t>
  </si>
  <si>
    <t>TC_Auto Product Change_56</t>
  </si>
  <si>
    <t xml:space="preserve">1. On Date - 15 Aug  2017, Go on generete Report screen
2. Select the Business Unit
3. Enter the No Of Days
4.Click on Print 
Verify that Schedule Completion report is not getting Genereted </t>
  </si>
  <si>
    <t>TC_Auto Product Change_57</t>
  </si>
  <si>
    <t>1. Make Part Prepayment, To verify that Part prepayment is perform correctly on auto product change loan account</t>
  </si>
  <si>
    <t>TC_Auto Product Change_58</t>
  </si>
  <si>
    <t>PDC</t>
  </si>
  <si>
    <t>PDC Entry</t>
  </si>
  <si>
    <t>TC_DHFL_PDC_01</t>
  </si>
  <si>
    <t>Check the PDC Entry with new fields.</t>
  </si>
  <si>
    <t>Check user is able to tag PDC to Local, AXIS, Outstation, CTS and Non-CTS</t>
  </si>
  <si>
    <t>TC_DHFL_PDC_08</t>
  </si>
  <si>
    <t>Check system is displaying new fields on the PDC Return screen and user is able to return the PDC's which are not cleared.</t>
  </si>
  <si>
    <t>TC_DHFL_PDC_11</t>
  </si>
  <si>
    <t>Check system is displaying new fields on the PDC Status Change screen and user is able to change the status</t>
  </si>
  <si>
    <t>TC_DHFL_PDC_12</t>
  </si>
  <si>
    <t>Check system is displaying new fields on the PDC Cancel screen and user is able to cancel the PDC</t>
  </si>
  <si>
    <t>TC_DHFL_PDC_13</t>
  </si>
  <si>
    <t>Check system is displaying new fields on the PDC Single Replacement screen and user is able replace a PDC</t>
  </si>
  <si>
    <t>TC_DHFL_PDC_14</t>
  </si>
  <si>
    <t>Check system is displaying new fields on the PDC Bulk Replacement screen and user is able replace PDC's in bulk</t>
  </si>
  <si>
    <t>TC_DHFL_PDC_15</t>
  </si>
  <si>
    <t>Check the handling of TDS on PDC Entry screen</t>
  </si>
  <si>
    <t>TC_DHFL_PDC_17</t>
  </si>
  <si>
    <t>Check system is recalculating the TDS amount for PDC's if the TDS rate is changed in between.</t>
  </si>
  <si>
    <t>TC_DHFL_PDC_18</t>
  </si>
  <si>
    <t>173741
176069,
177339</t>
  </si>
  <si>
    <t>Check system is creating a batch for PDC if it is 100%</t>
  </si>
  <si>
    <t>TC_DHFL_PDC_19</t>
  </si>
  <si>
    <t>Check system is creating a batch for PDC if  PDC is 100% and ECS is 70%</t>
  </si>
  <si>
    <t>TC_DHFL_PDC_20</t>
  </si>
  <si>
    <t>Check system is creating a batch for PDC and ECS if  PDC is 80% and ECS is 20%</t>
  </si>
  <si>
    <t>TC_DHFL_PDC_21</t>
  </si>
  <si>
    <t>Check Pay in Slip Generation for PDC in case of Branch Banking</t>
  </si>
  <si>
    <t>TC_DHFL_PDC_22</t>
  </si>
  <si>
    <t>Check system is considering the PDC as a mode of payment and creating the PDC batch once the ECS is on hold.</t>
  </si>
  <si>
    <t>TC_DHFL_PDC_29</t>
  </si>
  <si>
    <t>Check PREMI PDC conversion to EMI PDC</t>
  </si>
  <si>
    <t>TC_DHFL_PDC_30</t>
  </si>
  <si>
    <t>Check EMI PDC conversion to PREMI PDC</t>
  </si>
  <si>
    <t>TC_DHFL_PDC_31</t>
  </si>
  <si>
    <t>Check the amount in PDC batch instrument for PREMI case.</t>
  </si>
  <si>
    <t>TC_DHFL_PDC_32</t>
  </si>
  <si>
    <t>Check status of security PDC is changing once it is used in DRE.</t>
  </si>
  <si>
    <t>Check the acounting entries after Refund transaction</t>
  </si>
  <si>
    <t>Check Payout Details file is getting generated.</t>
  </si>
  <si>
    <t>TC_DHFL_REFUND_09</t>
  </si>
  <si>
    <t>Check the Payout Details upload file format for Cheque</t>
  </si>
  <si>
    <t>TC_DHFL_REFUND_11</t>
  </si>
  <si>
    <t>Check the Payout Details download file format for RTGS / NEFT</t>
  </si>
  <si>
    <t>TC_DHFL_REFUND_12</t>
  </si>
  <si>
    <t>Check the Payout Details upload file format for RTGS / NEFT</t>
  </si>
  <si>
    <t>TC_DHFL_REFUND_13</t>
  </si>
  <si>
    <t>This is actually NA</t>
  </si>
  <si>
    <t>Check the Payout Details download file format for DD</t>
  </si>
  <si>
    <t>TC_DHFL_REFUND_14</t>
  </si>
  <si>
    <t>Check the Payout Details upload file format for DD</t>
  </si>
  <si>
    <t>TC_DHFL_REFUND_15</t>
  </si>
  <si>
    <t>Check the refund reason</t>
  </si>
  <si>
    <t>TC_DHFL_REFUND_16</t>
  </si>
  <si>
    <t>Check the Payout Details download file format for IMPS</t>
  </si>
  <si>
    <t>182487,  182588</t>
  </si>
  <si>
    <t>Check whether New fields in Deposit bank master is utilized &amp; saved for Instrument processing.
-Account type,
-Deposit bank code
-Instrument Type
-Sub Type</t>
  </si>
  <si>
    <t>TC_DHFL_INSTRUMENT_PROCESS_01</t>
  </si>
  <si>
    <t>Check parameters setup master</t>
  </si>
  <si>
    <t>TC_DHFL_INSTRUMENT_PROCESS_02</t>
  </si>
  <si>
    <t>Check batch processing and status update of Deemed Clearance happens only on Cycle Date</t>
  </si>
  <si>
    <t xml:space="preserve">Check the payment apportion &amp; Accounting entries for PDC Cheque processing done before Cycle date </t>
  </si>
  <si>
    <t>Check instruments can not be represented which are bounced other than 'Insufficient Fund' reason</t>
  </si>
  <si>
    <t>TC_DHFL_IBR_20</t>
  </si>
  <si>
    <t>Check the bulk file upload option is available for Instrument Bounce representation.</t>
  </si>
  <si>
    <t>TC_DHFL_IBR_21</t>
  </si>
  <si>
    <t>176161
184555</t>
  </si>
  <si>
    <t xml:space="preserve">Check the Instrument Bounce Representation with upload file and instrument is not bounced </t>
  </si>
  <si>
    <t>TC_DHFL_IBR_22</t>
  </si>
  <si>
    <t>Check that system is generating the report for isntruments which are represented after bounce.</t>
  </si>
  <si>
    <t>TC_DHFL_IBR_25</t>
  </si>
  <si>
    <t>Report not delivered</t>
  </si>
  <si>
    <t>Check system is reversing the bounce charges and penal charges once the bounced instrument is represented.</t>
  </si>
  <si>
    <t>Check ECS marked as Hold can be further processed after marking it Unhold</t>
  </si>
  <si>
    <t>TC_DHFL_HSC_32</t>
  </si>
  <si>
    <r>
      <t xml:space="preserve">Check Payin Slip is generated Individually via Batch processing for Payment Mode = PDC-Chq for Instrument Type = CTS, Instrument Sub Type = </t>
    </r>
    <r>
      <rPr>
        <b/>
        <sz val="11"/>
        <color rgb="FF000000"/>
        <rFont val="Calibri"/>
        <family val="2"/>
        <scheme val="minor"/>
      </rPr>
      <t xml:space="preserve">Local &amp; Outstation </t>
    </r>
    <r>
      <rPr>
        <sz val="11"/>
        <color rgb="FF000000"/>
        <rFont val="Calibri"/>
        <family val="2"/>
        <scheme val="minor"/>
      </rPr>
      <t>Cheques &amp; Banking Type = Branch Banking</t>
    </r>
  </si>
  <si>
    <t>TC_DHFL_PDC_CHQ_35</t>
  </si>
  <si>
    <r>
      <t>Check Batch processing,  Payin Slip generation &amp; batch Creation when PDC Chq is processed with Instrument Sub Type =</t>
    </r>
    <r>
      <rPr>
        <b/>
        <sz val="11"/>
        <color rgb="FF000000"/>
        <rFont val="Calibri"/>
        <family val="2"/>
        <scheme val="minor"/>
      </rPr>
      <t xml:space="preserve"> Local , Outstation &amp; Deposit Bank</t>
    </r>
    <r>
      <rPr>
        <sz val="11"/>
        <color rgb="FF000000"/>
        <rFont val="Calibri"/>
        <family val="2"/>
        <scheme val="minor"/>
      </rPr>
      <t xml:space="preserve"> say AXIS at Deposit bank Master, Banking Type = Central Banking, Instrument Type=CTS</t>
    </r>
  </si>
  <si>
    <t>TC_DHFL_PDC_CHQ_36</t>
  </si>
  <si>
    <t>DAS</t>
  </si>
  <si>
    <t>Verify parameter as Repayment mode - DAS
Loan Account tagging
Employee Code
Customer, Co-applicant &amp; applicant - staff
DAS effective date</t>
  </si>
  <si>
    <t>LMS.Core.DAS.001</t>
  </si>
  <si>
    <t>Disbursed a case through Excel utility</t>
  </si>
  <si>
    <t>LMS.Core.DAS.003</t>
  </si>
  <si>
    <t>Verify repayment mode is DAS on account overview screen.</t>
  </si>
  <si>
    <t>LMS.Core.DAS.004</t>
  </si>
  <si>
    <t>User can enter employee code in occupation details for salaried employee</t>
  </si>
  <si>
    <t>LMS.Core.DAS.005</t>
  </si>
  <si>
    <t>DAS details should display in read only mode.</t>
  </si>
  <si>
    <t>LMS.Core.DAS.006</t>
  </si>
  <si>
    <t xml:space="preserve">Verify fields to be display under DAS details gride in read only mode
DAS applicability
Effective from date
Remarks
User Name
Date
</t>
  </si>
  <si>
    <t>LMS.Core.DAS.007</t>
  </si>
  <si>
    <t xml:space="preserve">System should allow to tag DAS repayment mode only for staff loan
</t>
  </si>
  <si>
    <t>LMS.Core.DAS.008</t>
  </si>
  <si>
    <t xml:space="preserve">System should allow to  untag DAS repayment mode only for staff loan
</t>
  </si>
  <si>
    <t>LMS.Core.DAS.009</t>
  </si>
  <si>
    <t xml:space="preserve">System is not allowing to tag and un tag DAS repayment mode other than staff loan
</t>
  </si>
  <si>
    <t>LMS.Core.DAS.010</t>
  </si>
  <si>
    <t>Verify all the fields 
DAS Applicability
Effective from date
Remark
History :-
DAS applicability
Effective from date
Remark
User Name
Date</t>
  </si>
  <si>
    <t>LMS.Core.DAS.011</t>
  </si>
  <si>
    <t>Verify Effective from date for DAS applicability</t>
  </si>
  <si>
    <t>LMS.Core.DAS.012</t>
  </si>
  <si>
    <t>Verify Effective from date for E-payment applicability</t>
  </si>
  <si>
    <t>LMS.Core.DAS.013</t>
  </si>
  <si>
    <t>Remark - non mandatory field</t>
  </si>
  <si>
    <t>LMS.Core.DAS.014</t>
  </si>
  <si>
    <t>Following fields to be display in history details screen
DAS Applicability 
Effective from date
Remarks
User Name
Date</t>
  </si>
  <si>
    <t>LMS.Core.DAS.015</t>
  </si>
  <si>
    <t>Mark DAS applicability for PDC entered cases</t>
  </si>
  <si>
    <t>LMS.Core.DAS.016</t>
  </si>
  <si>
    <t>Apply PDC on DAS applicable cases.</t>
  </si>
  <si>
    <t>LMS.Core.DAS.017</t>
  </si>
  <si>
    <t>Apply PDC on case where loan account is as staff</t>
  </si>
  <si>
    <t>LMS.Core.DAS.018</t>
  </si>
  <si>
    <t>Mark DAS applicability for E-payment entered cases</t>
  </si>
  <si>
    <t>LMS.Core.DAS.019</t>
  </si>
  <si>
    <t>Apply E-Payment Setup on case where loan account is as staff</t>
  </si>
  <si>
    <t>LMS.Core.DAS.020</t>
  </si>
  <si>
    <t>Verify DAS is available in instrument type drop down.</t>
  </si>
  <si>
    <t>LMS.Core.DAS.021</t>
  </si>
  <si>
    <t>LMS.Core.DAS.022</t>
  </si>
  <si>
    <t>Verify backdated DRE  with value date as less than effective from date of DAS.</t>
  </si>
  <si>
    <t>LMS.Core.DAS.023</t>
  </si>
  <si>
    <t xml:space="preserve">Perform backdated DRE on case where DAS is applicable from LMS </t>
  </si>
  <si>
    <t>LMS.Core.DAS.024</t>
  </si>
  <si>
    <t>Verify DAS is not available in instrument type drop down of Part prepayment.</t>
  </si>
  <si>
    <t>LMS.Core.DAS.025</t>
  </si>
  <si>
    <t>Verify DAS is not available in instrument type drop down of Foreclosure.</t>
  </si>
  <si>
    <t>LMS.Core.DAS.026</t>
  </si>
  <si>
    <t>Verify DAS parameter is present in file configurator.</t>
  </si>
  <si>
    <t>LMS.Core.DAS.027</t>
  </si>
  <si>
    <t>Verify DAS parameter is present in upload file.</t>
  </si>
  <si>
    <t>LMS.Core.DAS.029</t>
  </si>
  <si>
    <t>Verify DAS is not available in instrument type drop down of Restructure DRE.</t>
  </si>
  <si>
    <t>LMS.Core.DAS.032</t>
  </si>
  <si>
    <t>Verify DAS is not available in instrument type drop down of Settlement DRE.</t>
  </si>
  <si>
    <t>LMS.Core.DAS.033</t>
  </si>
  <si>
    <t xml:space="preserve">1.Go on Payment History/Transaction screen.
2.Observe rhe Instrument Type.
</t>
  </si>
  <si>
    <t>LMS.Core.DAS.034</t>
  </si>
  <si>
    <t>To verify that  System is not allowing user to do Restructure &amp; settlement through DAS instrument type</t>
  </si>
  <si>
    <t>LMS.Core.DAS.035</t>
  </si>
  <si>
    <t>1.Perform DRE through instrument Type DAS
2.Generate Accounting Entrues
To verify that  System generates Accounting as per below:-
Deduction against Salary A/c --- Dr.
 To Principal Receivable A/c
 To Interest Receivable A/c
 To Charges Receivable A/c</t>
  </si>
  <si>
    <t>LMS.Core.DAS.036</t>
  </si>
  <si>
    <t>To verify that user is able to perform payment through DAS</t>
  </si>
  <si>
    <t>LMS.Core.DAS.038</t>
  </si>
  <si>
    <t>LMS.Core.DAS.039</t>
  </si>
  <si>
    <t>To verify that instrument type ass DAS is not available for  Customer level DRE/Backdated DRE</t>
  </si>
  <si>
    <t>LMS.Core.DAS.040</t>
  </si>
  <si>
    <t>To verify that file get uploaded and payment get apply on the loan account .</t>
  </si>
  <si>
    <t>To verify that file get  download consists of accounts whose due date is between the business date and monthe end date</t>
  </si>
  <si>
    <t>1.On 09th Feb 2018,Run batch of batch creation.
2.To verify that File get download with record consists of the Bi Monthly case loan account.
3.Approve the record and upload the file on  due date
4.To verify that Payment get apply on the loan account and amount  get apply on the loan account</t>
  </si>
  <si>
    <t>LMS.Core.DAS.043</t>
  </si>
  <si>
    <t xml:space="preserve">1.On 10th Feb 2018,Run batch of batch creation.
2.To verify that File get download with record consists of the Quaterly case loan account.
3.Approve the record and upload the file 
4.To verify that Payment get apply on the loan account.
</t>
  </si>
  <si>
    <t>LMS.Core.DAS.046</t>
  </si>
  <si>
    <t>To verify that record get reject</t>
  </si>
  <si>
    <t>LMS.Core.DAS.047</t>
  </si>
  <si>
    <t>To verify that the flag whether the loan account is guaranteed by IMGC is sent from LOS to LMS.
To verify that IMGC Fee amount is sent from LOS to LMS through interface.</t>
  </si>
  <si>
    <t>IMGC.003</t>
  </si>
  <si>
    <t>To verify that ACE Batch is avaialble to download file format for cases which are guranteed by IMGC.</t>
  </si>
  <si>
    <t>IMGC.004</t>
  </si>
  <si>
    <t xml:space="preserve">To verify that after executing ACE batch, no files gets downloaded </t>
  </si>
  <si>
    <t>IMGC.005</t>
  </si>
  <si>
    <t>To verify following details are available on downloaded file
1. Application Number
2. Loan Account Number
3. Disbursement Date
4. Final Sanction Loan Amount
5. Loan Disbursement Amount
6. Borrower First Name
7. Borrower Surname
8. Disbursement Status</t>
  </si>
  <si>
    <t>IMGC.006</t>
  </si>
  <si>
    <t xml:space="preserve">To verify that IMGC status of loan account is maintained in the system as “Disbursement -Data downloaded” </t>
  </si>
  <si>
    <t>IMGC.007</t>
  </si>
  <si>
    <t>To verify that only incremental data will get download.</t>
  </si>
  <si>
    <t>IMGC.009</t>
  </si>
  <si>
    <t>To verify that any claim amount is received from IMGC then, remaining amount of claim is available for refund to IMGC through next download. 
To verify that received claim amount includes amount of debit note and chaeges along with Interest and principal.</t>
  </si>
  <si>
    <t>IMGC.026</t>
  </si>
  <si>
    <t xml:space="preserve">To verify that after maturity of loan account  remaining amount of claim is available for refund to IMGC through next download. </t>
  </si>
  <si>
    <t>IMGC.027</t>
  </si>
  <si>
    <t>To verify that user is able to perform full prepayment activity for loan account which is not guranteed by IMGC</t>
  </si>
  <si>
    <t>IMGC.028</t>
  </si>
  <si>
    <t>To verify that user is able to perform settlement activity for loan account which is not guranteed by IMGC</t>
  </si>
  <si>
    <t>IMGC.029</t>
  </si>
  <si>
    <t>To verify that user is able to perform asset resale activity for loan account which is not guranteed by IMGC</t>
  </si>
  <si>
    <t>IMGC.030</t>
  </si>
  <si>
    <t>To verify that user is able to perform write off activity for loan account which is not guranteed by IMGC</t>
  </si>
  <si>
    <t>IMGC.031</t>
  </si>
  <si>
    <t>To verify that user is able to perform Loan cancellation activity for loan account which is not guranteed by IMGC</t>
  </si>
  <si>
    <t>IMGC.032</t>
  </si>
  <si>
    <t>To verify that when loan account is marked as non-NPA then same loan account is consider for Refund download.</t>
  </si>
  <si>
    <t>IMGC.034</t>
  </si>
  <si>
    <t>To verify that 
1) when loan account status is change then user should be able to  make claim request 
2)  if  loan account status is same and claim reuest is already make then user should not be able to claim arequest
3) Verify that Claim Refuind Should be Done only when Account gets standard or Close</t>
  </si>
  <si>
    <t>IMGC.035</t>
  </si>
  <si>
    <t>To Check If Non IMGC Account of Same customer is NPA then Other IMGC Account will get NPA and On same Account user should be able to claim request, Receive refund</t>
  </si>
  <si>
    <t>IMGC.036</t>
  </si>
  <si>
    <t>Subvension</t>
  </si>
  <si>
    <t>Disburse a case from LOS with subvention recovery mode as NPV based.</t>
  </si>
  <si>
    <t>LMS.Core.subvntn.001</t>
  </si>
  <si>
    <t>1.To verify that Recovery Method displayed is in read only mode.
2.To verify that Recovery Method  displayed is as per value selected in origination and possible values are NPV or with installment.</t>
  </si>
  <si>
    <t>LMS.Core.subvntn.007</t>
  </si>
  <si>
    <t xml:space="preserve">1.To verify that Subvention Basis displayed is in read only mode.
2.To verify that Subvention Basis  displayed are amount or percentage </t>
  </si>
  <si>
    <t>LMS.Core.subvntn.008</t>
  </si>
  <si>
    <t>1.To verify that system displays Subvention ROI in case subvention basis is percentage and system displays amount is displayed in case subvention basis is amount.
2.Subvention ROI /  Amount is read only</t>
  </si>
  <si>
    <t>LMS.Core.subvntn.009</t>
  </si>
  <si>
    <t>To verify that Subvention type can be Pre-EMI or EMI as per set up in origination and it is in read only mode.</t>
  </si>
  <si>
    <t>LMS.Core.subvntn.011</t>
  </si>
  <si>
    <t>1.To verify that system displays Builder Code and Name and it is in read only mode.
2.To verify that Builder Code and Name displayed is correct</t>
  </si>
  <si>
    <t>LMS.Core.subvntn.012</t>
  </si>
  <si>
    <t>To verify that system displays the installment start date of the loan account and is in read only mode.</t>
  </si>
  <si>
    <t>LMS.Core.subvntn.013</t>
  </si>
  <si>
    <t>To verify that system display Disbursement Sr. No.</t>
  </si>
  <si>
    <t>LMS.Core.subvntn.014</t>
  </si>
  <si>
    <t>To verify that system display Disbursement Date.</t>
  </si>
  <si>
    <t>LMS.Core.subvntn.015</t>
  </si>
  <si>
    <t>To verify that system display Un amortized value of subvention.</t>
  </si>
  <si>
    <t>LMS.Core.subvntn.018</t>
  </si>
  <si>
    <t>To verify that interest accrual - monthly is calculated on the total interest amount.</t>
  </si>
  <si>
    <t>LMS.Core.subvntn.022</t>
  </si>
  <si>
    <t>To verify that interest accrual - Daily is calculated on the total interest amount.</t>
  </si>
  <si>
    <t>LMS.Core.subvntn.023</t>
  </si>
  <si>
    <t>To verify that installment amount  is displayed as Principal + Customer Interest during subvention period. 
Verify the Payment Application</t>
  </si>
  <si>
    <t>LMS.Core.subvntn.024</t>
  </si>
  <si>
    <t>To verify that PDC ENtry is not allowed in case of Pre EMI Case</t>
  </si>
  <si>
    <t>LMS.Core.subvntn.025</t>
  </si>
  <si>
    <t>To verify that other PDC functions like PDC details,PDC cancel etc works properly.</t>
  </si>
  <si>
    <t>LMS.Core.subvntn.026</t>
  </si>
  <si>
    <t>To verify thatE Payment Configuration is not allowed in case of Pre EMI Case</t>
  </si>
  <si>
    <t>LMS.Core.subvntn.028</t>
  </si>
  <si>
    <t>1.To verify that subvention amortized till date  for a tranche which is cancelled is reversed and interest waiver is also reversed
2.Subvention amount reversal and interest waiver entries are availble on Transaction History screen.
3.Payment reversal entry is available on Payment History.
4.Generate Accounting entries.
5.To verify that Accounting Entries get generate properly</t>
  </si>
  <si>
    <t>LMS.Core.subvntn.029</t>
  </si>
  <si>
    <t>To verify that refund functionality works properly.</t>
  </si>
  <si>
    <t>LMS.Core.subvntn.030</t>
  </si>
  <si>
    <t>To verify that Debit Note  functionality works properly.</t>
  </si>
  <si>
    <t>LMS.Core.subvntn.031</t>
  </si>
  <si>
    <t>To verify that Credit Note  functionality works properly.</t>
  </si>
  <si>
    <t>LMS.Core.subvntn.032</t>
  </si>
  <si>
    <t>To verify that DRE Account Level  functionality works properly.</t>
  </si>
  <si>
    <t>LMS.Core.subvntn.033</t>
  </si>
  <si>
    <t>To verify that DRE Customer Level  functionality works properly.</t>
  </si>
  <si>
    <t>LMS.Core.subvntn.034</t>
  </si>
  <si>
    <t>To verify that DRE Cancel  functionality works properly.</t>
  </si>
  <si>
    <t>LMS.Core.subvntn.035</t>
  </si>
  <si>
    <t>LMS.Core.subvntn.036</t>
  </si>
  <si>
    <t>If subvention is applicable for a loan account then values are display :-
Total Interest – Interest amount as per rate of interest, Subvention amount – Amortized portion of Subvention, Interest Waiver amount – Total Interest – (Customer Interest + Amortized amount of Subvention), Interest – Current interest column shows the amount which customer is going to pay.</t>
  </si>
  <si>
    <t>LMS.Core.subvntn.037</t>
  </si>
  <si>
    <t>Disburse a case with subvention period and variation as skip Cap from 2nd to 3rd Installment.</t>
  </si>
  <si>
    <t>LMS.Core.subvntn.038</t>
  </si>
  <si>
    <t>To verify that Charges Booking functionality works properly.</t>
  </si>
  <si>
    <t>LMS.Core.subvntn.039</t>
  </si>
  <si>
    <t>1. On non due date after 4th Installment, Go to Part prepayment screen.
2. Perform Prepayment with change factor as tenor.
3. To Verify  after part prepayment,  subvention is amortized for remaining period of subvention including BPI amount from next due date.</t>
  </si>
  <si>
    <t>LMS.Core.subvntn.043</t>
  </si>
  <si>
    <t>1. On due date of 3rd Installment, Go to Top Up screen.
2. Perform Top Up with change factor as tenor.
3. To Verify  after Top Up, tenor gets reduced then unamortized portion of subvention is amortized for the remaining period of subvention.</t>
  </si>
  <si>
    <t>LMS.Core.subvntn.049</t>
  </si>
  <si>
    <t>1. On non due date of 3rd Installment, Go to Top Up screen.
2. Perform Top Up with change factor as Installment ,  interest Rate change and Cycle Date Change
3. To Verify  after Top Up, Installment gets increased then unamortized portion of subvention is amortized for the remaining period of subvention.</t>
  </si>
  <si>
    <t>LMS.Core.subvntn.050</t>
  </si>
  <si>
    <t>1. On Non due date of 3rd Installment, Go to Top Up screen.
2. Perform Top Up with change factor as Installment &amp; Partial Skip  from 6 to 9.
3. To Verify  after Top Up, Installment gets increased then unamortized portion of subvention is amortized for the remaining period of subvention.</t>
  </si>
  <si>
    <t>LMS.Core.subvntn.051</t>
  </si>
  <si>
    <t>1. On due date of 3rd Installment, Go to Top Up screen.
2. Perform Top Up with change factor as Installment &amp; Skip Free from 4 to 8. 
3. To Verify  after Top Up, Installment gets increased then unamortized portion of subvention is amortized for the remaining period of subvention.</t>
  </si>
  <si>
    <t>LMS.Core.subvntn.052</t>
  </si>
  <si>
    <t>1. On Non due date of 3rd Installment, Go to  Restructure screen.
2. Perform  Restructure with change factor as tenor, Capitalize Overdue Principal.
3. To Verify  after  Restructure, tenor gets reduced then unamortized portion of subvention is amortized for the remaining period of subvention.</t>
  </si>
  <si>
    <t>LMS.Core.subvntn.053</t>
  </si>
  <si>
    <t>1. On non due date of 3rd Installment, Go to  Restructure screen.
2. Perform  Restructure with change factor as Installment, Capitalize principal &amp; Interest amount and waive BPI &amp; Interest Rate Change with with Cycle Date Change
3. To Verify  after Restructure , Installment gets increased then unamortized portion of subvention is amortized for the remaining period of subvention.</t>
  </si>
  <si>
    <t>LMS.Core.subvntn.054</t>
  </si>
  <si>
    <t>1. On due date of 3rd Installment, Go to  Restructure screen.
2. Perform  Restructure with change factor as Installment &amp; Partial Skip  from 6 to 9.
3. To Verify  after  Restructure, Installment gets increased then unamortized portion of subvention is amortized for the remaining period of subvention.</t>
  </si>
  <si>
    <t>LMS.Core.subvntn.055</t>
  </si>
  <si>
    <t>1. On due date of 3rd Installment, Go to Product Change screen.
2. Perform Product Change with change factor as tenor.
3. To Verify  after Product Change, tenor gets reduced then unamortized portion of subvention is amortized for the remaining period of subvention.</t>
  </si>
  <si>
    <t>LMS.Core.subvntn.057</t>
  </si>
  <si>
    <t>1. On due date of 3rd Installment, Go to Reschedule screen.
2. Perform Product Change with change factor as Installment &amp; Partial Skip  from 6 to 9.
3. To Verify  after Product Change, Installment gets increased then unamortized portion of subvention is amortized for the remaining period of subvention.</t>
  </si>
  <si>
    <t>LMS.Core.subvntn.059</t>
  </si>
  <si>
    <t>1. On due date of 3rd Installment, Go to Product Change screen.
2. Perform Product Change with Skip Free from 4 to 8 &amp; Mark as Capitalize BPI. 
3. To Verify  after Product Change, Installment gets increased then unamortized portion of subvention is amortized for the remaining period of subvention.</t>
  </si>
  <si>
    <t>LMS.Core.subvntn.060</t>
  </si>
  <si>
    <t>LMS.Core.subvntn.062</t>
  </si>
  <si>
    <t>1. Consider a case with overdue amount.
2. Perform bulk upload - Approve subsidy greater than overdues.
3. Verify that after part prepayment -&gt;  unamortized subvention amount is amortized as per the changed interest amount. 
4. Verify -&gt; If interest waiver amount is negative then above % is recalculated for the remaining subvention period.</t>
  </si>
  <si>
    <t>LMS.Core.subvntn.068</t>
  </si>
  <si>
    <t>1. Consider a NPA case during subvention period.
2. Perform asset repossess.
3. Verify loan account is closed then unamortized portion of subvention is available for refund to builder.
4. Verify amount should refund to builder.</t>
  </si>
  <si>
    <t>LMS.Core.subvntn.069</t>
  </si>
  <si>
    <t>1. Consider a NPA case during subvention period.
2. Perform asset  resale on aset repossessed case.
3. Verify loan account is closed then unamortized portion of subvention is available for refund to builder.
4. Verify amount should refund to builder.</t>
  </si>
  <si>
    <t>LMS.Core.subvntn.070</t>
  </si>
  <si>
    <t>1. Consider a NPA case during subvention period.
2. Perform settlement.
3. Verify loan account is closed then unamortized portion of subvention is available for refund to builder.
4. Verify amount should refund to builder.</t>
  </si>
  <si>
    <t>LMS.Core.subvntn.071</t>
  </si>
  <si>
    <t>1. Consider a NPA case during subvention period.
2. Perform Write off on NPA case.
3. Verify loan account is closed then unamortized portion of subvention is available for refund to builder.
4. Verify amount should refund to builder.</t>
  </si>
  <si>
    <t>LMS.Core.subvntn.072</t>
  </si>
  <si>
    <t>1. Consider a case with subvention.
2. Clear two Installment -&gt; Run EOD till before next due date.
3. Apply TDS on account.
4. Verify after applying TDS, TDS should get calculate on customer interest.</t>
  </si>
  <si>
    <t>LMS.Core.subvntn.074</t>
  </si>
  <si>
    <t>1. Consider a case with subvention.
2. Go to account service -&gt; Verify subvention refund screen is available at account level.</t>
  </si>
  <si>
    <t>LMS.Core.subvntn.075</t>
  </si>
  <si>
    <t>1. Consider a case with subvention.
2. Run EOD till subvention period is over. 
3. Verify subvention refund is available &amp; user can refund back the un-amortize portion of subvention after subvention period is over.</t>
  </si>
  <si>
    <t>LMS.Core.subvntn.077</t>
  </si>
  <si>
    <t>1. Consider a case with multi-tranche &amp; subvention.
2. Verify sub loan account is getting displayed on sub loan account pop search for multi-tranche account.</t>
  </si>
  <si>
    <t>LMS.Core.subvntn.078</t>
  </si>
  <si>
    <t>1. Consider a case with non multi-tranche
2. Verify sub loan account is not getting displayed on sub loan account pop search for multi-tranche account.</t>
  </si>
  <si>
    <t>LMS.Core.subvntn.079</t>
  </si>
  <si>
    <t>1. Consider a case with subvention.
2. User can enter the refund amount -&gt; Verify Refund amount should be less than or equal to Un-amortize subvention.</t>
  </si>
  <si>
    <t>LMS.Core.subvntn.080</t>
  </si>
  <si>
    <t>1. Consider a case with subvention.
2. Account which is closed or subvention period is over -&gt; Verify Un-amortize subvention amount is auto populated after Loan is closed or subvention period is over.</t>
  </si>
  <si>
    <t>LMS.Core.subvntn.081</t>
  </si>
  <si>
    <t>1. Consider a case with subvention.
2. During subvention period -&gt; Verify that user is not able to refund, Un-amortize subvention amount during subvention period.</t>
  </si>
  <si>
    <t>LMS.Core.subvntn.082</t>
  </si>
  <si>
    <t>1. Consider a case with subvention.
2. Account which is closed or subvention period is over -&gt; Verify User can select reason from drop down &amp; Its should be mandatory field.</t>
  </si>
  <si>
    <t>LMS.Core.subvntn.083</t>
  </si>
  <si>
    <t>1. Consider a case with subvention.
2. Account which is closed or subvention period is over -&gt; Verify Un-amortize subvention amount – Refund amount should shown as remaining un-amortize Subvention amount on closed account or subvention period is over.</t>
  </si>
  <si>
    <t>LMS.Core.subvntn.084</t>
  </si>
  <si>
    <t>1. Consider a case with subvention.
2. Account which is closed or subvention period is over -&gt; Verify User can select instrument type from drop down which shows following are displayed as Cash, Cheque, Pay Order, Demand Draft, NEFT,RTGS, IMPS
3. Its should be mandatory field.</t>
  </si>
  <si>
    <t>LMS.Core.subvntn.085</t>
  </si>
  <si>
    <t>1. Consider a subvention refund is perform.
2. Go to refund history screen.</t>
  </si>
  <si>
    <t>LMS.Core.subvntn.086</t>
  </si>
  <si>
    <t>1. Consider a subvention refund is perform.
2. Go to Transaction history screen -&gt; Verify  in case of installment billing total interest is shown as Debit, subvention amortized amount also shown as credit and interest waiver is also shown as credit.</t>
  </si>
  <si>
    <t>LMS.Core.subvntn.087</t>
  </si>
  <si>
    <t>1. Consider a case with subvention.
2. Go to Reports -&gt; Verify the details of interest waiver, subvention amortized and customer interest are shown.</t>
  </si>
  <si>
    <t>LMS.Core.subvntn.088</t>
  </si>
  <si>
    <t>1. Consider a case with subvention.
2. Go to Reports - &gt; Interest Certificate -&gt; Verify the details of customer interest portion is considered.</t>
  </si>
  <si>
    <t>LMS.Core.subvntn.089</t>
  </si>
  <si>
    <t>1. Consider a case with subvention.
2. Go to Reports - &gt; Provisional Interest certificate  -&gt; Verify the details of customer interest portion is considered.</t>
  </si>
  <si>
    <t>LMS.Core.subvntn.090</t>
  </si>
  <si>
    <t xml:space="preserve">1. Consider a case with subvention.
2. Verify subvention is applied on Interest which is within step Up period </t>
  </si>
  <si>
    <t>1. Consider a case with subvention.
2. Verify schedule details for case having variation of bullet.</t>
  </si>
  <si>
    <t>LMS.Core.subvntn.092</t>
  </si>
  <si>
    <t>1. Consider a case with subvention.
2. Verify schedule details for case having variation of Skip payable</t>
  </si>
  <si>
    <t>LMS.Core.subvntn.093</t>
  </si>
  <si>
    <t>1. Consider a case with subvention.
2. Verify schedule details for case having variation of Skip Capitalize -&gt; Subvention amount should not plot for variation period.</t>
  </si>
  <si>
    <t>LMS.Core.subvntn.094</t>
  </si>
  <si>
    <t>1. Consider a case with subvention.
2. Verify schedule details for case having variation of Step Up - Amount</t>
  </si>
  <si>
    <t>LMS.Core.subvntn.095</t>
  </si>
  <si>
    <t>1. Consider a case with subvention.
2. Verify schedule details for case having variation of Step Down - Amount</t>
  </si>
  <si>
    <t>LMS.Core.subvntn.096</t>
  </si>
  <si>
    <t>1. Consider a case with subvention.
2. Verify schedule details for case having variation of Step Up - Percentage</t>
  </si>
  <si>
    <t>LMS.Core.subvntn.097</t>
  </si>
  <si>
    <t>1. Consider a case with subvention.
2. Verify schedule details for case having variation of Step Down - Percentage</t>
  </si>
  <si>
    <t>LMS.Core.subvntn.098</t>
  </si>
  <si>
    <t>1. Consider a case with subvention.
2. Verify schedule details for case having variation of Step Absolute  - EMI</t>
  </si>
  <si>
    <t>LMS.Core.subvntn.099</t>
  </si>
  <si>
    <t xml:space="preserve">1. Consider a case with subvention.
2. Verify schedule details for case having variation of  Step Absolute  - Principal </t>
  </si>
  <si>
    <t>LMS.Core.subvntn.100</t>
  </si>
  <si>
    <t>To verify that Charges waiver functionality works properly.</t>
  </si>
  <si>
    <t>LMS.Core.subvntn.101</t>
  </si>
  <si>
    <t>1. On Non- due date of 3rd Installment, Go to Part prepayment screen.
2. Perform Prepayment with change factor as Installment.
3. To Verify  after part prepayment, Installment gets changed then unamortized portion of subvention is amortized for the remaining period of subvention.</t>
  </si>
  <si>
    <t>LMS.Core.subvntn.102</t>
  </si>
  <si>
    <t>1. On due date of 4th Installment, Go to Part prepayment screen.
2. Perform Prepayment with change factor as tenor.
3. To Verify  after part prepayment, Installment gets changed then unamortized portion of subvention is amortized for the remaining period of subvention.</t>
  </si>
  <si>
    <t>LMS.Core.subvntn.103</t>
  </si>
  <si>
    <t>1. Consider a case with subvention &amp; Interest type as variable.
2. Perform reschedule simulation with increase in index rate -&gt; Verify Schedule should plot as per new interest rate.</t>
  </si>
  <si>
    <t>LMS.Core.subvntn.104</t>
  </si>
  <si>
    <t>1. Consider a case with subvention, on which part prepayment is performed and account should be NPA.
2. Verify provisioning amount should get properly calucalted on new principal amount which is plotted after part prepayment.</t>
  </si>
  <si>
    <t>LMS.Core.subvntn.108</t>
  </si>
  <si>
    <t>1. Consider a case with subvention &amp; Interest type as variable.
2. Perform Restructure simulation with increase in index rate -&gt; Verify Schedule should plot as per new interest rate.</t>
  </si>
  <si>
    <t>LMS.Core.subvntn.109</t>
  </si>
  <si>
    <t>1. On due date of 3rd Installment, Go to  Restructure screen.
2. Perform Restructure with change factor as tenor, Capitalize BPI amount and Waive charges  &amp; Step Up - % from 8 to 12.
3. To Verify  after  Restructure, Installment gets increased &amp; tenor reduced  then unamortized portion of subvention is amortized for the remaining period of subvention with new variation.</t>
  </si>
  <si>
    <t>LMS.Core.subvntn.110</t>
  </si>
  <si>
    <t>1. On due date of 3rd Installment, Go to  Restructure screen.
2. Perform Restructure with change factor as Installment, Capitalize BPI amount and Waive charges  &amp; change in index rate - decrease rate.
3. To Verify  after  Restructure, Installment gets increased then unamortized portion of subvention is amortized for the remaining period of subvention with new variation &amp;  new interest rate.</t>
  </si>
  <si>
    <t>LMS.Core.subvntn.111</t>
  </si>
  <si>
    <t xml:space="preserve">1. On Non due date of 3rd Installment, Go to Reschedule simualtion screen.
2. Perform Reschedule with change factor as Installment , and opt variation as Partial Skip Variation
3. To Verify  after Reschedule, Validation is getting disaplyed on screen </t>
  </si>
  <si>
    <t>LMS.Core.subvntn.113</t>
  </si>
  <si>
    <t xml:space="preserve">1. On Non due date of 3rd Installment, Go to Restructure simualtion screen.
2. Perform Restructure with change factor as Installment , and opt variation as Partial Skip Variation
3. To Verify  after Restructure, Validation is getting disaplyed on screen </t>
  </si>
  <si>
    <t>LMS.Core.subvntn.114</t>
  </si>
  <si>
    <t>NHB Account Overview</t>
  </si>
  <si>
    <t xml:space="preserve">1.Go on Account Overview screen.
2.To verify that below fields are available on Account Overview screen:
- Subsidy Code / Description 
- Type of subsidy
- Approved / Rejected.
-Amount of Subsidy received.
</t>
  </si>
  <si>
    <t>TC_Account Overview_01</t>
  </si>
  <si>
    <t>1.Go on Account Overview screen.
2.To verify that values available in the below fiedls are proper:
- Subsidy Code / Description 
- Type of subsidy
- Approved / Rejected.
-Amount of Subsidy received.</t>
  </si>
  <si>
    <t>TC_Account Overview_02</t>
  </si>
  <si>
    <t>TC_Account Overview_03</t>
  </si>
  <si>
    <t>1.Go on Account Overview screen.
2.To verify that below fields are blank :
- Subsidy Code / Description 
- Type of subsidy
- Approved / Rejected.
-Amount of Subsidy received.</t>
  </si>
  <si>
    <t>TC_Account Overview_04</t>
  </si>
  <si>
    <t>TC_Account Overview_05</t>
  </si>
  <si>
    <t>Check DPD logic</t>
  </si>
  <si>
    <t>TC_DHFL_DPD_01</t>
  </si>
  <si>
    <t>Check DPD Calculation when foreclosure is done via cheque</t>
  </si>
  <si>
    <t>TC_DHFL_DPD_04</t>
  </si>
  <si>
    <t>Foreclosure cheque bounce not delivered</t>
  </si>
  <si>
    <t>Check Write off can be done when DPD has crossed XX days and has  been marked as NPA</t>
  </si>
  <si>
    <t>TC_DHFL_DPD_05</t>
  </si>
  <si>
    <t>Check Write Off when DPD is x no of days and LAN is Non-NPA</t>
  </si>
  <si>
    <t>TC_DHFL_DPD_06</t>
  </si>
  <si>
    <t>9.8,9.9</t>
  </si>
  <si>
    <t xml:space="preserve">Asset Classification </t>
  </si>
  <si>
    <t>To verify Provisioning amount calculation as per the setup</t>
  </si>
  <si>
    <t>TC_NPA_001</t>
  </si>
  <si>
    <t>To verify that DPD is reduced when payment is received against overdues and loan status get upgraded from Doubtful II to sub standard</t>
  </si>
  <si>
    <t>TC_NPA_002</t>
  </si>
  <si>
    <t>To verify that DPD is reduced to 0 when total emi overdue payment is received and loan status get upgrade from Doubtful II to Standard</t>
  </si>
  <si>
    <t>TC_NPA_003</t>
  </si>
  <si>
    <t>1.To verify that DPD is reduced when payment is received and loan status get upgrade from Doubtful II to sub standard
2.To verify that DPD is increased when payment is not received after the 1st partial DRE and loan status get degraded from sub standard to Doubtful II.</t>
  </si>
  <si>
    <t>TC_NPA_004</t>
  </si>
  <si>
    <t>To Verify user is able to mark non NPA account to NPA through Specific provisioning</t>
  </si>
  <si>
    <t>TC_NPA_005</t>
  </si>
  <si>
    <t xml:space="preserve">To verify that discounting flag is working properly on an account </t>
  </si>
  <si>
    <t>TC_NPA_006</t>
  </si>
  <si>
    <t>TC_NPA_007</t>
  </si>
  <si>
    <t>To verify that DPD is reduced when payment is received against overdues, asset class did not changed and still remains in Doubtful I</t>
  </si>
  <si>
    <t>TC_NPA_008</t>
  </si>
  <si>
    <t>TC_NPA_009</t>
  </si>
  <si>
    <t>1.To verify that DPD is reduced when payment is received and loan status did not get upgrade and should be as per the NPA Marking date.
2.To verify that DPD is increased when payment is not received after the 1st partial DRE and loan status get degraded  as per the NPA Marking date.</t>
  </si>
  <si>
    <t>TC_NPA_010</t>
  </si>
  <si>
    <t>To Verify user is able to mark Non NPA account to NPA through Specific provisioning when GCM is 'Y'</t>
  </si>
  <si>
    <t>TC_NPA_011</t>
  </si>
  <si>
    <t>TC_NPA_012</t>
  </si>
  <si>
    <t>To verify that if one loan status get schanged to NPA while other two is Non-NPA then other account is getting into NPA and provisioning amount get calculated.</t>
  </si>
  <si>
    <t>TC_NPA_013</t>
  </si>
  <si>
    <t>TC_NPA_014</t>
  </si>
  <si>
    <t>To verify that if one loan status get schanged to NPA while other two is Non-NPA then other account is getting into NPA and provisioning amount get calculated.
Verfiy sepcific till all accounts are NPA and revert to NON NPA.</t>
  </si>
  <si>
    <t>TC_NPA_015</t>
  </si>
  <si>
    <t>6.3.1</t>
  </si>
  <si>
    <t>Bulk Upload DRE</t>
  </si>
  <si>
    <t>Verify  entry is present in BULK_UPLOAD_TRANS_CONFIG table against DRE</t>
  </si>
  <si>
    <t>LMS.GenericBulk.DRE.001</t>
  </si>
  <si>
    <t>Verify entry is present in BULK_UPLOAD_FILE table against DRE.</t>
  </si>
  <si>
    <t>LMS.GenericBulk.DRE.002</t>
  </si>
  <si>
    <t>Verify entry is present in BULK_UPLOAD_FILE_MAPPING table against DRE.</t>
  </si>
  <si>
    <t>LMS.GenericBulk.DRE.003</t>
  </si>
  <si>
    <t xml:space="preserve">File gets execute with file format as csv. </t>
  </si>
  <si>
    <t>LMS.GenericBulk.DRE.021</t>
  </si>
  <si>
    <t>LMS.GenericBulk.DRE.022</t>
  </si>
  <si>
    <t>LMS.GenericBulk.DRE.023</t>
  </si>
  <si>
    <t>LMS.GenericBulk.DRE.024</t>
  </si>
  <si>
    <t>LMS.GenericBulk.DRE.025</t>
  </si>
  <si>
    <t>LMS.GenericBulk.DRE.026</t>
  </si>
  <si>
    <t>LMS.GenericBulk.DRE.027</t>
  </si>
  <si>
    <t>LMS.GenericBulk.DRE.028</t>
  </si>
  <si>
    <t>LMS.GenericBulk.DRE.030</t>
  </si>
  <si>
    <t>LMS.GenericBulk.DRE.031</t>
  </si>
  <si>
    <t>LMS.GenericBulk.DRE.035</t>
  </si>
  <si>
    <t>LMS.GenericBulk.DRE.038</t>
  </si>
  <si>
    <t>LMS.GenericBulk.DRE.048</t>
  </si>
  <si>
    <t>LMS.GenericBulk.DRE.059</t>
  </si>
  <si>
    <t>LMS.GenericBulk.DRE.060</t>
  </si>
  <si>
    <t xml:space="preserve">Bulk Upload Charge Booking, Refund and Waiver </t>
  </si>
  <si>
    <t>Verify  entry is present in BULK_UPLOAD_TRANS_CONFIG table against Refund.</t>
  </si>
  <si>
    <t>LMS.GenericBulk.Refund.001</t>
  </si>
  <si>
    <t>Verify  entry is present in BULK_UPLOAD_FILE table against  Refund.</t>
  </si>
  <si>
    <t>LMS.GenericBulk.Refund.002</t>
  </si>
  <si>
    <t>Verify  entry is present in BULK_UPLOAD_FILE_MAPPING table against Refund.</t>
  </si>
  <si>
    <t>LMS.GenericBulk.Refund.003</t>
  </si>
  <si>
    <t>Verfiy all fields present on Refund  screen, in template.</t>
  </si>
  <si>
    <t>LMS.GenericBulk.Refund.004</t>
  </si>
  <si>
    <t>Verfiy validation message for all mandatory fields.</t>
  </si>
  <si>
    <t>LMS.GenericBulk.Refund.005</t>
  </si>
  <si>
    <t>Verfiy validation message for  file not supported.</t>
  </si>
  <si>
    <t>LMS.GenericBulk.Refund.006</t>
  </si>
  <si>
    <t xml:space="preserve">File should get execute with file format as csv. </t>
  </si>
  <si>
    <t>LMS.GenericBulk.Refund.007</t>
  </si>
  <si>
    <t>File should get execute with file format as csv. Verify validation message for Refund amount.</t>
  </si>
  <si>
    <t>LMS.GenericBulk.Refund.008</t>
  </si>
  <si>
    <t>File should get execute with file format as csv. Verify validation message for Refund reason</t>
  </si>
  <si>
    <t>LMS.GenericBulk.Refund.009</t>
  </si>
  <si>
    <t>File should get execute with file format as csv. Verify validation message for Refund Instrument type.</t>
  </si>
  <si>
    <t>LMS.GenericBulk.Refund.010</t>
  </si>
  <si>
    <t>Verify validation message as account having no excess amount.</t>
  </si>
  <si>
    <t>LMS.GenericBulk.Refund.011</t>
  </si>
  <si>
    <t>Verify validation message if refund amount is greater than that of available excess amount against loan account.</t>
  </si>
  <si>
    <t>LMS.GenericBulk.Refund.016</t>
  </si>
  <si>
    <t>Refund should get performed with multiple instrument types.</t>
  </si>
  <si>
    <t>LMS.GenericBulk.Refund.017</t>
  </si>
  <si>
    <t>LMS.GenericBulk.Refund.018</t>
  </si>
  <si>
    <t>Verfiy validation message for  reason other than mention in lookup.</t>
  </si>
  <si>
    <t>LMS.GenericBulk.Refund.019</t>
  </si>
  <si>
    <t>Verfiy validation message for  amount when the infinity amount is entered.</t>
  </si>
  <si>
    <t>LMS.GenericBulk.Refund.020</t>
  </si>
  <si>
    <t>Verfiy validation message for invalid header .</t>
  </si>
  <si>
    <t>LMS.GenericBulk.Refund.021</t>
  </si>
  <si>
    <t>Verfiy validation message for  amount as entered data is in special character.</t>
  </si>
  <si>
    <t>LMS.GenericBulk.Refund.022</t>
  </si>
  <si>
    <t>Verfiy validation message for  instrument no is greater than max length.</t>
  </si>
  <si>
    <t>Verify  entry is present in BULK_UPLOAD_TRANS_CONFIG table against Charges Booking.</t>
  </si>
  <si>
    <t>LMS.GenericBulk.CharBooking.001</t>
  </si>
  <si>
    <t>Verify  entry is present in BULK_UPLOAD_FILE table against  Charges Booking.</t>
  </si>
  <si>
    <t>LMS.GenericBulk.CharBooking.002</t>
  </si>
  <si>
    <t>Verify  entry is present in BULK_UPLOAD_FILE_MAPPING table against Charges Booking.</t>
  </si>
  <si>
    <t>LMS.GenericBulk.CharBooking.003</t>
  </si>
  <si>
    <t>File should get execute with file format as csv. Verify validation message for Charge Head.</t>
  </si>
  <si>
    <t>LMS.GenericBulk.CharBooking.008</t>
  </si>
  <si>
    <t>File should get execute with file format as csv. Verify validation message for Charges Booking reason</t>
  </si>
  <si>
    <t>LMS.GenericBulk.CharBooking.009</t>
  </si>
  <si>
    <t>File should get execute with file format as csv. Verify validation message for Charges Booking Instrument type.</t>
  </si>
  <si>
    <t>LMS.GenericBulk.CharBooking.010</t>
  </si>
  <si>
    <t>LMS.GenericBulk.CharBooking.011</t>
  </si>
  <si>
    <t>After charges booking , generate due amount &amp; perform DRE.</t>
  </si>
  <si>
    <t>LMS.GenericBulk.CharBooking.012</t>
  </si>
  <si>
    <t>Charges Booking  - Exclusive tax applied on account</t>
  </si>
  <si>
    <t>LMS.GenericBulk.CharBooking.014</t>
  </si>
  <si>
    <t>LMS.GenericBulk.CharBooking.016</t>
  </si>
  <si>
    <t>LMS.GenericBulk.CharBooking.017</t>
  </si>
  <si>
    <t>LMS.GenericBulk.CharBooking.018</t>
  </si>
  <si>
    <t>Verfiy validation message for invalid account no.</t>
  </si>
  <si>
    <t>LMS.GenericBulk.CharBooking.019</t>
  </si>
  <si>
    <t>Verfiy validation message for  Invalid transaction type &amp; mode .</t>
  </si>
  <si>
    <t>LMS.GenericBulk.CharBooking.020</t>
  </si>
  <si>
    <t>Verfiy validation message for  Invalid Reason code.</t>
  </si>
  <si>
    <t>LMS.GenericBulk.CharBooking.021</t>
  </si>
  <si>
    <t>Verfiy validation message for Invalid file name.</t>
  </si>
  <si>
    <t>LMS.GenericBulk.CharBooking.022</t>
  </si>
  <si>
    <t>Verify  entry is present in BULK_UPLOAD_TRANS_CONFIG table against Charges Waiver.</t>
  </si>
  <si>
    <t>LMS.GenericBulk.CharWaiver.001</t>
  </si>
  <si>
    <t>Verify  entry is present in BULK_UPLOAD_FILE table against  Charges Waiver.</t>
  </si>
  <si>
    <t>LMS.GenericBulk.CharWaiver.002</t>
  </si>
  <si>
    <t>Verify  entry is present in BULK_UPLOAD_FILE_MAPPING table against Charges Waiver.</t>
  </si>
  <si>
    <t>LMS.GenericBulk.CharWaiver.003</t>
  </si>
  <si>
    <t>Verfiy all fields present on Charges Waiver  screen in template.</t>
  </si>
  <si>
    <t>LMS.GenericBulk.CharWaiver.004</t>
  </si>
  <si>
    <t>LMS.GenericBulk.CharWaiver.005</t>
  </si>
  <si>
    <t>LMS.GenericBulk.CharWaiver.006</t>
  </si>
  <si>
    <t>LMS.GenericBulk.CharWaiver.007</t>
  </si>
  <si>
    <t>File should get execute with file format as csv. Verify validation message for Charges Waiver ID.</t>
  </si>
  <si>
    <t>LMS.GenericBulk.CharWaiver.008</t>
  </si>
  <si>
    <t>File should get execute with file format as csv. Verify validation message for Charges Waiver reason</t>
  </si>
  <si>
    <t>LMS.GenericBulk.CharWaiver.009</t>
  </si>
  <si>
    <t>File should get execute with file format as csv. Verify validation message for Transaction Head</t>
  </si>
  <si>
    <t>LMS.GenericBulk.CharWaiver.010</t>
  </si>
  <si>
    <t>LMS.GenericBulk.CharWaiver.012</t>
  </si>
  <si>
    <t>Charges Waiver  - Exclusive tax applied on account</t>
  </si>
  <si>
    <t>LMS.GenericBulk.CharWaiver.014</t>
  </si>
  <si>
    <t>LMS.GenericBulk.CharWaiver.015</t>
  </si>
  <si>
    <t>LMS.GenericBulk.CharWaiver.017</t>
  </si>
  <si>
    <t>LMS.GenericBulk.CharWaiver.018</t>
  </si>
  <si>
    <t>LMS.GenericBulk.CharWaiver.019</t>
  </si>
  <si>
    <t>LMS.GenericBulk.CharWaiver.020</t>
  </si>
  <si>
    <t>Verfiy validation message for  Invalid transaction type .</t>
  </si>
  <si>
    <t>LMS.GenericBulk.CharWaiver.021</t>
  </si>
  <si>
    <t>Verfiy validation message for  Invalid Business date.</t>
  </si>
  <si>
    <t>LMS.GenericBulk.CharWaiver.022</t>
  </si>
  <si>
    <t>LMS.GenericBulk.CharWaiver.023</t>
  </si>
  <si>
    <t xml:space="preserve">Check Foreclosure is allowed when batch is prepared with mix of Instrument source = ECS and DDM </t>
  </si>
  <si>
    <t>TC_DHFL_FCL11</t>
  </si>
  <si>
    <t>has been made NA as per review comment</t>
  </si>
  <si>
    <t>To Verify Back Dated DRE is allowed, if user enters new value date previous than last value date.</t>
  </si>
  <si>
    <t>TC_DHFL_DRE_02</t>
  </si>
  <si>
    <t>To Verify Back Dated DRE-Loan Level via Cash is knocking off the dues as per the payment apportionment rules in that loan account.</t>
  </si>
  <si>
    <t>TC_DHFL_DRE_03</t>
  </si>
  <si>
    <t>To Verify Back Dated DRE-Customer Level via Cash is knocking off the dues as per the payment apportionment rules in each of the loan accounts.</t>
  </si>
  <si>
    <t>TC_DHFL_DRE_04</t>
  </si>
  <si>
    <t>To Verify Back Dated DRE-Customer level is allowed, if user enters new value date previous than last value date.</t>
  </si>
  <si>
    <t>TC_DHFL_DRE_05</t>
  </si>
  <si>
    <t>To Verify Customer DRE Cancel is able to cancel the DRE Amount and displaying the Payment reversal entry at Transaction History</t>
  </si>
  <si>
    <t>TC_DHFL_DRE_06</t>
  </si>
  <si>
    <t>To verify DRE Reprint screen details once DRE is Saved</t>
  </si>
  <si>
    <t>TC_DHFL_DRE_07</t>
  </si>
  <si>
    <t>To verify DRE History screen details once DRE is Saved</t>
  </si>
  <si>
    <t>TC_DHFL_DRE_08</t>
  </si>
  <si>
    <t>To Check DRE Cancel via Maker Checker</t>
  </si>
  <si>
    <t>TC_DHFL_DRE_12</t>
  </si>
  <si>
    <t>To verify that system is generating the due on 1st day of a month for Yearly frequency case.</t>
  </si>
  <si>
    <t>TC_DHFL_DP_05</t>
  </si>
  <si>
    <t>To verify that user is able to waive the Accrued Penal charges.</t>
  </si>
  <si>
    <t>TC_DHFL_DP_09</t>
  </si>
  <si>
    <t>To verify that user is able to waive the booked Penal charges.</t>
  </si>
  <si>
    <t>TC_DHFL_DP_13</t>
  </si>
  <si>
    <t>To verify that system is generating the accounting entry for penal charges on month end.</t>
  </si>
  <si>
    <t>TC_DHFL_DP_14</t>
  </si>
  <si>
    <t>To verify that system is generating the accounting entry of booked penal charges with accrued penal charges if customer pays it through DRE</t>
  </si>
  <si>
    <t>TC_DHFL_DP_15</t>
  </si>
  <si>
    <t>To verify that system is generating the correct dues on correct date for PRE-EMI case where it is single disbursement with Half Yearly frequency.</t>
  </si>
  <si>
    <t>TC_DHFL_DP_18</t>
  </si>
  <si>
    <t>To verify that system is generating the correct dues on correct date for PRE-EMI case where it is single disbursement with Yearly frequency.</t>
  </si>
  <si>
    <t>TC_DHFL_DP_19</t>
  </si>
  <si>
    <t>To verify that system is generating the correct dues on correct date for PRE-EMI case where it is multiple disbursement with Quarterly frequency.</t>
  </si>
  <si>
    <t>TC_DHFL_DP_21</t>
  </si>
  <si>
    <t>To verify that system is generating the correct dues on correct date for PRE-EMI case where it is multiple disbursement with Half Yearly frequency.</t>
  </si>
  <si>
    <t>TC_DHFL_DP_22</t>
  </si>
  <si>
    <t>To verify that system is generating the correct dues on correct date for PRE-EMI case where it is multiple disbursement with Yearly frequency.</t>
  </si>
  <si>
    <t>TC_DHFL_DP_23</t>
  </si>
  <si>
    <t>To verify that system is calculating the Penal charges and booking it after end of quarter if dues are not paid on cycle date for Quarterly frequency</t>
  </si>
  <si>
    <t>TC_DHFL_DP_24</t>
  </si>
  <si>
    <t xml:space="preserve">To verify that system is booking the correct Penal charges and calculating the correct accured penal charges if dues are not paid on cycle date for Half Yearly </t>
  </si>
  <si>
    <t>TC_DHFL_DP_25</t>
  </si>
  <si>
    <t xml:space="preserve">To verify that system is booking the correct Penal charges and calculating the correct accured penal charges if dues are not paid on cycle date for Yearly </t>
  </si>
  <si>
    <t>TC_DHFL_DP_26</t>
  </si>
  <si>
    <t>To verify that system is generating correct penal charges for PRE-EMI case which is having with Quarterly frequency.</t>
  </si>
  <si>
    <t>TC_DHFL_DP_28</t>
  </si>
  <si>
    <t>To verify that system is generating correct penal charges for PRE-EMI case which is having with Half Yearly frequency.</t>
  </si>
  <si>
    <t>TC_DHFL_DP_29</t>
  </si>
  <si>
    <t>To verify the due generation if customer has already paid the BPI dues and that dues are parked in excess.</t>
  </si>
  <si>
    <t>TC_DHFL_DP_32</t>
  </si>
  <si>
    <t>To Verify Loan account is closed immediately when mode of payment=Demand Draft  and  check/authorizer activity is completed</t>
  </si>
  <si>
    <t>TC_DHFL_FCL13</t>
  </si>
  <si>
    <t xml:space="preserve">To Verify Loan account is closed after foreclosure immediately when mode of payment=Cash  </t>
  </si>
  <si>
    <t>TC_DHFL_FCL14</t>
  </si>
  <si>
    <t xml:space="preserve">To Verify Loan account is closed after actual realization of cheque  when mode of payment=cheque  </t>
  </si>
  <si>
    <t>TC_DHFL_FCL15</t>
  </si>
  <si>
    <t>To verify Full prepayment charges are generated.</t>
  </si>
  <si>
    <t>TC_DHFL_FCL17</t>
  </si>
  <si>
    <t>To verify transaction history is updated after foreclosure process is completed.</t>
  </si>
  <si>
    <t>TC_DHFL_FCL18</t>
  </si>
  <si>
    <t>To verify validation message is displaying on Foreclosure screen where  type of ROI is Fixed and GCM parameter value is N where Foreclosure applicable for ROI Fixed (Y/N)</t>
  </si>
  <si>
    <t>TC_DHFL_FCL19</t>
  </si>
  <si>
    <t>To verify validation message is displaying on Foreclosure screen where  type of ROI is Variable and GCM parameter value is N where Foreclosure applicable for ROI Variable (Y/N)</t>
  </si>
  <si>
    <t>TC_DHFL_FCL20</t>
  </si>
  <si>
    <t>To verify validation message is displaying on Foreclosure screen where  type of ROI is Mixed and GCM parameter value is N where Foreclosure applicable for ROI Mixed (Y/N)</t>
  </si>
  <si>
    <t>TC_DHFL_FCL21</t>
  </si>
  <si>
    <t>To verify validation message is displaying on Foreclosure screen  if 
Source of Foreclosure is selected as Balance Transfer and GCM parameter "Foreclosure applicable for Source Balance Transfer (Y/N)" is N</t>
  </si>
  <si>
    <t>TC_DHFL_FCL22</t>
  </si>
  <si>
    <t>To verify validation message is displaying on Foreclosure screen  if 
Source of Foreclosure is selected as Own Source and GCM parameter "Foreclosure applicable for Source Own (Y/N)" is N</t>
  </si>
  <si>
    <t>TC_DHFL_FCL23</t>
  </si>
  <si>
    <t>To verify validation message is displaying on Foreclosure screen  if 
Source of Foreclosure is selected as Sale Of Asset and GCM parameter "Foreclosure applicable for Source Sale of Asset (Y/N)" is N</t>
  </si>
  <si>
    <t>TC_DHFL_FCL24</t>
  </si>
  <si>
    <t>To verify validation message is displaying on Foreclosure screen  if 
account is fully disbursed and GCM parameter "Foreclosure applicable for Full Disbursement(Y/N)" is N</t>
  </si>
  <si>
    <t>TC_DHFL_FCL25</t>
  </si>
  <si>
    <t>To verify validation message is displaying on Foreclosure screen  if 
account is partially disbursed and GCM parameter "Foreclosure applicable for Part Disbursement(Y/N)" is N</t>
  </si>
  <si>
    <t>TC_DHFL_FCL26</t>
  </si>
  <si>
    <t xml:space="preserve">To verify validation message is displaying on Foreclosure screen  if  current business day of month is more than value set for
GCM parameter "Foreclosure acceptance till day of month" </t>
  </si>
  <si>
    <t>TC_DHFL_FCL27</t>
  </si>
  <si>
    <t xml:space="preserve">To verify validation message is displaying on Foreclosure screen  if  months difference between first disbursement date &amp; current business date is less than or equal to
value set for GCM parameter "Foreclosure applicable period from first disbursement." </t>
  </si>
  <si>
    <t>TC_DHFL_FCL28</t>
  </si>
  <si>
    <t xml:space="preserve">To verify validation message is displaying on Foreclosure screen  if  months difference between last disbursement date &amp; current business date is less than
value set for GCM parameter "Foreclosure applicable period from first disbursement." </t>
  </si>
  <si>
    <t>TC_DHFL_FCL29</t>
  </si>
  <si>
    <t>Check the batch parameter fields on Batch Configurator as per below Type of File : -
-ECS
-DDM
-NACH</t>
  </si>
  <si>
    <t>TC_DHFL_INSTRUMENT_PROCESS_03</t>
  </si>
  <si>
    <t>Row Labels</t>
  </si>
  <si>
    <t>(blank)</t>
  </si>
  <si>
    <t>Grand Total</t>
  </si>
  <si>
    <t>MRHFL LOS</t>
  </si>
  <si>
    <t>Chandrasen Wadikar</t>
  </si>
  <si>
    <t>Total Test case Passed (L+1 column)</t>
  </si>
  <si>
    <t>VFS - CR 119849</t>
  </si>
  <si>
    <t>Tejas</t>
  </si>
  <si>
    <t>VFS - CR 121668</t>
  </si>
  <si>
    <t>VFS - CR 119845</t>
  </si>
  <si>
    <t>VFS - CR 126563</t>
  </si>
  <si>
    <t>VFS - CR 139642</t>
  </si>
  <si>
    <t>VFS - CR RM Global</t>
  </si>
  <si>
    <t>VFS - CR GST</t>
  </si>
  <si>
    <t>VFS - CR 127989</t>
  </si>
  <si>
    <t>VFS - CR 148438</t>
  </si>
  <si>
    <t>VFS - CR 118134</t>
  </si>
  <si>
    <t>VFS - CR 106053</t>
  </si>
  <si>
    <t>VFS - CR 115001</t>
  </si>
  <si>
    <t>VFS - CR 107129</t>
  </si>
  <si>
    <t xml:space="preserve">VFS - CR 114996 </t>
  </si>
  <si>
    <t xml:space="preserve">VFS - CR 107240 </t>
  </si>
  <si>
    <t>VFS - CR 105237</t>
  </si>
  <si>
    <t>VFS - CR 137961</t>
  </si>
  <si>
    <t>Family Bank - CR 137966</t>
  </si>
  <si>
    <t>Family Bank - CR 144520</t>
  </si>
  <si>
    <t>Family Bank - CR 118376</t>
  </si>
  <si>
    <t>Family Bank - CR 119455</t>
  </si>
  <si>
    <t>Family Bank - CR 119442</t>
  </si>
  <si>
    <t>Family Bank - CR 119516</t>
  </si>
  <si>
    <t>Family Bank - CR 119519</t>
  </si>
  <si>
    <t>Family Bank - CR 119601</t>
  </si>
  <si>
    <t>Family Bank - CR 121447</t>
  </si>
  <si>
    <t>Family Bank - CR 158537</t>
  </si>
  <si>
    <t>Family Bank - CR 135828</t>
  </si>
  <si>
    <t>VWFS - CR00251</t>
  </si>
  <si>
    <t>ABFL - Udyog Integration Download</t>
  </si>
  <si>
    <t>ABFL - Jboss Upgradation + Workflow Upgradation</t>
  </si>
  <si>
    <t>ABFL - Code Drop 5 - Phase 1</t>
  </si>
  <si>
    <t>ABFL - NSDL and Softcell Integration</t>
  </si>
  <si>
    <t>ABFL - GST Implementation</t>
  </si>
  <si>
    <t>ABFL - Hunter Integartion</t>
  </si>
  <si>
    <t>ABFL - NPA Accounting</t>
  </si>
  <si>
    <t>ABFL - Advance EMI</t>
  </si>
  <si>
    <t>ABFL - CMS Issue Fixes</t>
  </si>
  <si>
    <t>ABFL - Pre-EMI deduct from disbursement</t>
  </si>
  <si>
    <t>ABFL - SKR Updation</t>
  </si>
  <si>
    <t>ABFL - CRM Changes</t>
  </si>
  <si>
    <t xml:space="preserve">ABFL - ABFL_HUNTER_APSNOTIFICATION
</t>
  </si>
  <si>
    <t>ABFL - Hunter Request Consolidation</t>
  </si>
  <si>
    <t>ABFL - H2H NEFT Rejection Handling</t>
  </si>
  <si>
    <t>JMF LOS</t>
  </si>
  <si>
    <t>Senthil</t>
  </si>
  <si>
    <t>JMF LMS</t>
  </si>
  <si>
    <t>BFL Collections</t>
  </si>
  <si>
    <t>VISTAAR - CR Foreclosure -Phase I</t>
  </si>
  <si>
    <t>VISTAAR - CR Foreclosure -Phase II</t>
  </si>
  <si>
    <t>VISTAAR - CR SBBD Changes</t>
  </si>
  <si>
    <t xml:space="preserve">Volvo - CR Finance Lease </t>
  </si>
  <si>
    <t>Volvo - CR Hybrid</t>
  </si>
  <si>
    <t>IDFC - Display of LOS charges in SOA</t>
  </si>
  <si>
    <t>IDFC - BPI Enhancement</t>
  </si>
  <si>
    <t>IDFC GST Testing</t>
  </si>
  <si>
    <t>IDFC -Virtual Accounting Entries Automation</t>
  </si>
  <si>
    <t>IDFC - NACH EMI Holiday Master and Refund Reini</t>
  </si>
  <si>
    <t>Marcis -Webservice testing</t>
  </si>
  <si>
    <t>PA PM/Lead</t>
  </si>
  <si>
    <t>OOB Portfolio</t>
  </si>
  <si>
    <t>GST Changes</t>
  </si>
  <si>
    <t>Attach Existing Collateral</t>
  </si>
  <si>
    <t>Bridge Loan</t>
  </si>
  <si>
    <t>Split Disbursement</t>
  </si>
  <si>
    <t>Reject Review Cooling</t>
  </si>
  <si>
    <t>DSA Profile</t>
  </si>
  <si>
    <t>Perfios</t>
  </si>
  <si>
    <t>BT TOP and Send Back</t>
  </si>
  <si>
    <t>Audit Tracker</t>
  </si>
  <si>
    <t>PL Workflow Simplification</t>
  </si>
  <si>
    <t>Clix LMS -  LACR</t>
  </si>
  <si>
    <t>Chandrasen Wadikar / Govind</t>
  </si>
  <si>
    <t>Clix LMS -  FINTECH 1</t>
  </si>
  <si>
    <t>Clix LMS -  FINTECH 2</t>
  </si>
  <si>
    <t>RBL LMS - Pre-payment to be allowed on Graded EMI cases : Approved CR</t>
  </si>
  <si>
    <t>RBL LMS -RBL_LMS_UAT : disbursement cancellation enhancements</t>
  </si>
  <si>
    <t>AVG</t>
  </si>
  <si>
    <t>Std</t>
  </si>
  <si>
    <t>Time per tc</t>
  </si>
  <si>
    <t>Var</t>
  </si>
  <si>
    <t>std</t>
  </si>
  <si>
    <t>Mean</t>
  </si>
  <si>
    <t>Number</t>
  </si>
  <si>
    <t xml:space="preserve">Corelation </t>
  </si>
  <si>
    <t>max</t>
  </si>
  <si>
    <t xml:space="preserve">  +VE</t>
  </si>
  <si>
    <t xml:space="preserve">Statistical Analysis </t>
  </si>
  <si>
    <t>median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</si>
</sst>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47" x14ac:knownFonts="1">
    <font>
      <sz val="11"/>
      <color theme="1"/>
      <name val="Calibri"/>
      <family val="2"/>
      <scheme val="minor"/>
    </font>
    <font>
      <b/>
      <sz val="11"/>
      <color theme="1"/>
      <name val="Calibri"/>
      <family val="2"/>
      <scheme val="minor"/>
    </font>
    <font>
      <sz val="11"/>
      <color rgb="FFFF0000"/>
      <name val="Calibri"/>
      <family val="2"/>
      <scheme val="minor"/>
    </font>
    <font>
      <sz val="10"/>
      <color rgb="FF000000"/>
      <name val="Arial"/>
      <family val="2"/>
    </font>
    <font>
      <b/>
      <sz val="11"/>
      <color rgb="FF000000"/>
      <name val="Calibri"/>
      <family val="2"/>
      <scheme val="minor"/>
    </font>
    <font>
      <sz val="11"/>
      <color rgb="FF000000"/>
      <name val="Calibri"/>
      <family val="2"/>
      <scheme val="minor"/>
    </font>
    <font>
      <strike/>
      <sz val="11"/>
      <color rgb="FF000000"/>
      <name val="Calibri"/>
      <family val="2"/>
      <scheme val="minor"/>
    </font>
    <font>
      <sz val="12"/>
      <color rgb="FF000000"/>
      <name val="Calibri"/>
      <family val="2"/>
      <scheme val="minor"/>
    </font>
    <font>
      <strike/>
      <sz val="12"/>
      <color rgb="FF000000"/>
      <name val="Calibri"/>
      <family val="2"/>
      <scheme val="minor"/>
    </font>
    <font>
      <sz val="10"/>
      <color rgb="FFFF0000"/>
      <name val="Arial"/>
      <family val="2"/>
    </font>
    <font>
      <strike/>
      <sz val="10"/>
      <color rgb="FF000000"/>
      <name val="Arial"/>
      <family val="2"/>
    </font>
    <font>
      <sz val="10"/>
      <color rgb="FF000000"/>
      <name val="Symbol"/>
      <family val="1"/>
      <charset val="2"/>
    </font>
    <font>
      <sz val="10"/>
      <color rgb="FFFF0000"/>
      <name val="Symbol"/>
      <family val="1"/>
      <charset val="2"/>
    </font>
    <font>
      <strike/>
      <sz val="10"/>
      <color rgb="FF000000"/>
      <name val="Verdana"/>
      <family val="2"/>
    </font>
    <font>
      <sz val="10"/>
      <color rgb="FF000000"/>
      <name val="Verdana"/>
      <family val="2"/>
    </font>
    <font>
      <u/>
      <sz val="11"/>
      <color rgb="FF000000"/>
      <name val="Calibri"/>
      <family val="2"/>
      <scheme val="minor"/>
    </font>
    <font>
      <vertAlign val="superscript"/>
      <sz val="11"/>
      <color rgb="FF000000"/>
      <name val="Calibri"/>
      <family val="2"/>
      <scheme val="minor"/>
    </font>
    <font>
      <sz val="10"/>
      <color rgb="FF000000"/>
      <name val="Wingdings"/>
      <charset val="2"/>
    </font>
    <font>
      <sz val="7"/>
      <color rgb="FF000000"/>
      <name val="Times New Roman"/>
      <family val="1"/>
    </font>
    <font>
      <sz val="12"/>
      <color rgb="FF000000"/>
      <name val="Calibri"/>
      <family val="2"/>
    </font>
    <font>
      <sz val="12"/>
      <color rgb="FF000000"/>
      <name val="Times New Roman"/>
      <family val="1"/>
    </font>
    <font>
      <sz val="11"/>
      <color rgb="FF000000"/>
      <name val="Courier New"/>
      <family val="3"/>
    </font>
    <font>
      <sz val="11"/>
      <color rgb="FF000000"/>
      <name val="Calibri"/>
      <family val="2"/>
    </font>
    <font>
      <strike/>
      <sz val="11"/>
      <color rgb="FF000000"/>
      <name val="Calibri Light"/>
      <family val="2"/>
    </font>
    <font>
      <strike/>
      <sz val="7"/>
      <color rgb="FF000000"/>
      <name val="Calibri Light"/>
      <family val="2"/>
    </font>
    <font>
      <sz val="11"/>
      <color rgb="FF000000"/>
      <name val="Wingdings"/>
      <charset val="2"/>
    </font>
    <font>
      <sz val="12"/>
      <color rgb="FF000000"/>
      <name val="Wingdings"/>
      <charset val="2"/>
    </font>
    <font>
      <vertAlign val="superscript"/>
      <sz val="12"/>
      <color rgb="FF000000"/>
      <name val="Calibri"/>
      <family val="2"/>
    </font>
    <font>
      <strike/>
      <sz val="11"/>
      <color rgb="FF000000"/>
      <name val="Calibri"/>
      <family val="2"/>
    </font>
    <font>
      <strike/>
      <sz val="12"/>
      <color rgb="FF000000"/>
      <name val="Calibri Light"/>
      <family val="2"/>
    </font>
    <font>
      <strike/>
      <sz val="12"/>
      <color rgb="FF000000"/>
      <name val="Times New Roman"/>
      <family val="1"/>
    </font>
    <font>
      <sz val="12"/>
      <color rgb="FF000000"/>
      <name val="Courier New"/>
      <family val="3"/>
    </font>
    <font>
      <b/>
      <sz val="12"/>
      <color rgb="FF000000"/>
      <name val="Calibri"/>
      <family val="2"/>
    </font>
    <font>
      <sz val="12"/>
      <color rgb="FFFF0000"/>
      <name val="Courier New"/>
      <family val="3"/>
    </font>
    <font>
      <b/>
      <sz val="9"/>
      <color indexed="81"/>
      <name val="Tahoma"/>
      <family val="2"/>
    </font>
    <font>
      <sz val="9"/>
      <color indexed="81"/>
      <name val="Tahoma"/>
      <family val="2"/>
    </font>
    <font>
      <sz val="10"/>
      <color rgb="FF000000"/>
      <name val="Tahoma"/>
      <family val="2"/>
    </font>
    <font>
      <sz val="10"/>
      <name val="SimSun"/>
    </font>
    <font>
      <b/>
      <sz val="9"/>
      <name val="Times New Roman"/>
      <family val="1"/>
    </font>
    <font>
      <sz val="9"/>
      <name val="Times New Roman"/>
      <family val="1"/>
    </font>
    <font>
      <sz val="9.6"/>
      <color rgb="FF000000"/>
      <name val="Arial"/>
      <family val="2"/>
    </font>
    <font>
      <sz val="11"/>
      <color theme="1"/>
      <name val="Calibri"/>
      <family val="2"/>
      <scheme val="minor"/>
    </font>
    <font>
      <sz val="10"/>
      <color theme="1"/>
      <name val="Calibri"/>
      <family val="2"/>
    </font>
    <font>
      <sz val="10"/>
      <color rgb="FF000000"/>
      <name val="Calibri"/>
      <family val="2"/>
    </font>
    <font>
      <b/>
      <sz val="16"/>
      <color theme="1"/>
      <name val="Calibri"/>
      <family val="2"/>
      <scheme val="minor"/>
    </font>
    <font>
      <sz val="12"/>
      <color theme="1"/>
      <name val="Calibri"/>
      <family val="2"/>
      <scheme val="minor"/>
    </font>
    <font>
      <sz val="16"/>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tint="-0.249977111117893"/>
        <bgColor indexed="64"/>
      </patternFill>
    </fill>
    <fill>
      <patternFill patternType="solid">
        <fgColor rgb="FF92D050"/>
        <bgColor indexed="64"/>
      </patternFill>
    </fill>
    <fill>
      <patternFill patternType="solid">
        <fgColor rgb="FFC0C0C0"/>
        <bgColor indexed="64"/>
      </patternFill>
    </fill>
    <fill>
      <patternFill patternType="solid">
        <fgColor indexed="13"/>
        <bgColor indexed="64"/>
      </patternFill>
    </fill>
    <fill>
      <patternFill patternType="solid">
        <fgColor rgb="FFFFFF00"/>
        <bgColor rgb="FFFFFF00"/>
      </patternFill>
    </fill>
    <fill>
      <patternFill patternType="solid">
        <fgColor rgb="FFFFFFFF"/>
        <bgColor indexed="64"/>
      </patternFill>
    </fill>
    <fill>
      <patternFill patternType="solid">
        <fgColor theme="4" tint="0.59999389629810485"/>
        <bgColor indexed="64"/>
      </patternFill>
    </fill>
    <fill>
      <patternFill patternType="solid">
        <fgColor indexed="10"/>
        <bgColor indexed="64"/>
      </patternFill>
    </fill>
    <fill>
      <patternFill patternType="solid">
        <fgColor theme="5"/>
        <bgColor indexed="64"/>
      </patternFill>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style="medium">
        <color auto="1"/>
      </right>
      <top/>
      <bottom style="medium">
        <color auto="1"/>
      </bottom>
      <diagonal/>
    </border>
  </borders>
  <cellStyleXfs count="2">
    <xf numFmtId="0" fontId="0" fillId="0" borderId="0"/>
    <xf numFmtId="0" fontId="41" fillId="0" borderId="0"/>
  </cellStyleXfs>
  <cellXfs count="116">
    <xf numFmtId="0" fontId="0" fillId="0" borderId="0" xfId="0"/>
    <xf numFmtId="0" fontId="0" fillId="0" borderId="0" xfId="0" applyAlignment="1">
      <alignment vertical="top"/>
    </xf>
    <xf numFmtId="0" fontId="0" fillId="0" borderId="0" xfId="0" applyAlignment="1">
      <alignment horizontal="center" vertical="top"/>
    </xf>
    <xf numFmtId="0" fontId="0" fillId="2" borderId="0" xfId="0" applyFill="1" applyAlignment="1">
      <alignment horizontal="center" vertical="top"/>
    </xf>
    <xf numFmtId="0" fontId="0" fillId="0" borderId="0" xfId="0" applyAlignment="1">
      <alignment horizontal="center" vertical="top" wrapText="1"/>
    </xf>
    <xf numFmtId="0" fontId="1" fillId="4" borderId="1" xfId="0" applyFont="1" applyFill="1" applyBorder="1" applyAlignment="1">
      <alignment horizontal="center" vertical="top" wrapText="1"/>
    </xf>
    <xf numFmtId="0" fontId="1" fillId="4" borderId="2" xfId="0" applyFont="1" applyFill="1" applyBorder="1" applyAlignment="1">
      <alignment horizontal="center" vertical="top" wrapText="1"/>
    </xf>
    <xf numFmtId="0" fontId="0" fillId="2" borderId="2" xfId="0" applyFill="1" applyBorder="1" applyAlignment="1">
      <alignment horizontal="center" vertical="top" wrapText="1"/>
    </xf>
    <xf numFmtId="0" fontId="1" fillId="4" borderId="3" xfId="0" applyFont="1" applyFill="1" applyBorder="1" applyAlignment="1">
      <alignment horizontal="center" vertical="top" wrapText="1"/>
    </xf>
    <xf numFmtId="0" fontId="0" fillId="2" borderId="3" xfId="0" applyFill="1" applyBorder="1" applyAlignment="1">
      <alignment horizontal="center" vertical="top" wrapText="1"/>
    </xf>
    <xf numFmtId="0" fontId="1" fillId="0" borderId="0" xfId="0" applyFont="1" applyAlignment="1">
      <alignment horizontal="left" vertical="top" wrapText="1"/>
    </xf>
    <xf numFmtId="0" fontId="1" fillId="4" borderId="4" xfId="0" applyFont="1" applyFill="1" applyBorder="1" applyAlignment="1">
      <alignment horizontal="center" vertical="top" wrapText="1"/>
    </xf>
    <xf numFmtId="0" fontId="1" fillId="2" borderId="4" xfId="0" applyFont="1" applyFill="1" applyBorder="1" applyAlignment="1">
      <alignment horizontal="center" vertical="top" wrapText="1"/>
    </xf>
    <xf numFmtId="0" fontId="1" fillId="3" borderId="5" xfId="0" applyFont="1" applyFill="1" applyBorder="1" applyAlignment="1">
      <alignment horizontal="center" vertical="top" wrapText="1"/>
    </xf>
    <xf numFmtId="0" fontId="1" fillId="3" borderId="4" xfId="0" applyFont="1" applyFill="1" applyBorder="1" applyAlignment="1">
      <alignment horizontal="center" vertical="top" wrapText="1"/>
    </xf>
    <xf numFmtId="0" fontId="1" fillId="3" borderId="7" xfId="0" applyFont="1" applyFill="1" applyBorder="1" applyAlignment="1">
      <alignment horizontal="center" vertical="top" wrapText="1"/>
    </xf>
    <xf numFmtId="0" fontId="1" fillId="4" borderId="5" xfId="0" applyFont="1" applyFill="1" applyBorder="1" applyAlignment="1">
      <alignment horizontal="center" vertical="top" wrapText="1"/>
    </xf>
    <xf numFmtId="0" fontId="1" fillId="4" borderId="6" xfId="0" applyFont="1" applyFill="1" applyBorder="1" applyAlignment="1">
      <alignment horizontal="center" vertical="top" wrapText="1"/>
    </xf>
    <xf numFmtId="0" fontId="1" fillId="5" borderId="7" xfId="0" applyFont="1" applyFill="1" applyBorder="1" applyAlignment="1">
      <alignment horizontal="center" vertical="top" wrapText="1"/>
    </xf>
    <xf numFmtId="0" fontId="0" fillId="0" borderId="0" xfId="0" applyAlignment="1">
      <alignment horizontal="left"/>
    </xf>
    <xf numFmtId="0" fontId="4" fillId="6" borderId="8" xfId="0" applyFont="1" applyFill="1" applyBorder="1" applyAlignment="1">
      <alignment horizontal="center" vertical="center"/>
    </xf>
    <xf numFmtId="0" fontId="3" fillId="0" borderId="8" xfId="0" applyFont="1" applyBorder="1" applyAlignment="1"/>
    <xf numFmtId="0" fontId="9" fillId="0" borderId="8" xfId="0" applyFont="1" applyBorder="1" applyAlignment="1"/>
    <xf numFmtId="0" fontId="10" fillId="0" borderId="8" xfId="0" applyFont="1" applyBorder="1" applyAlignment="1"/>
    <xf numFmtId="0" fontId="11" fillId="0" borderId="8" xfId="0" applyFont="1" applyBorder="1" applyAlignment="1"/>
    <xf numFmtId="0" fontId="12" fillId="0" borderId="8" xfId="0" applyFont="1" applyBorder="1" applyAlignment="1"/>
    <xf numFmtId="0" fontId="5" fillId="0" borderId="8" xfId="0" applyFont="1" applyBorder="1" applyAlignment="1"/>
    <xf numFmtId="0" fontId="2" fillId="0" borderId="8" xfId="0" applyFont="1" applyBorder="1" applyAlignment="1">
      <alignment horizontal="justify" vertical="center"/>
    </xf>
    <xf numFmtId="0" fontId="5" fillId="0" borderId="8" xfId="0" applyFont="1" applyBorder="1" applyAlignment="1">
      <alignment horizontal="justify" vertical="center"/>
    </xf>
    <xf numFmtId="0" fontId="6" fillId="0" borderId="8" xfId="0" applyFont="1" applyBorder="1" applyAlignment="1">
      <alignment horizontal="justify" vertical="center"/>
    </xf>
    <xf numFmtId="0" fontId="15" fillId="0" borderId="8" xfId="0" applyFont="1" applyBorder="1" applyAlignment="1">
      <alignment horizontal="justify" vertical="center"/>
    </xf>
    <xf numFmtId="0" fontId="17" fillId="0" borderId="8" xfId="0" applyFont="1" applyBorder="1" applyAlignment="1">
      <alignment horizontal="justify" vertical="center"/>
    </xf>
    <xf numFmtId="0" fontId="20" fillId="0" borderId="8" xfId="0" applyFont="1" applyBorder="1" applyAlignment="1"/>
    <xf numFmtId="0" fontId="21" fillId="0" borderId="8" xfId="0" applyFont="1" applyBorder="1" applyAlignment="1">
      <alignment horizontal="justify" vertical="center"/>
    </xf>
    <xf numFmtId="0" fontId="23" fillId="0" borderId="8" xfId="0" applyFont="1" applyBorder="1" applyAlignment="1">
      <alignment horizontal="justify" vertical="center"/>
    </xf>
    <xf numFmtId="0" fontId="25" fillId="0" borderId="8" xfId="0" applyFont="1" applyBorder="1" applyAlignment="1">
      <alignment horizontal="justify" vertical="center"/>
    </xf>
    <xf numFmtId="0" fontId="26" fillId="0" borderId="8" xfId="0" applyFont="1" applyBorder="1" applyAlignment="1">
      <alignment horizontal="justify" vertical="center"/>
    </xf>
    <xf numFmtId="0" fontId="7" fillId="0" borderId="8" xfId="0" applyFont="1" applyBorder="1" applyAlignment="1">
      <alignment horizontal="justify" vertical="center"/>
    </xf>
    <xf numFmtId="0" fontId="7" fillId="0" borderId="8" xfId="0" applyFont="1" applyBorder="1" applyAlignment="1"/>
    <xf numFmtId="0" fontId="29" fillId="0" borderId="8" xfId="0" applyFont="1" applyBorder="1" applyAlignment="1">
      <alignment horizontal="justify" vertical="center"/>
    </xf>
    <xf numFmtId="0" fontId="31" fillId="0" borderId="8" xfId="0" applyFont="1" applyBorder="1" applyAlignment="1">
      <alignment horizontal="justify" vertical="center"/>
    </xf>
    <xf numFmtId="0" fontId="33" fillId="0" borderId="8" xfId="0" applyFont="1" applyBorder="1" applyAlignment="1">
      <alignment horizontal="justify" vertical="center"/>
    </xf>
    <xf numFmtId="0" fontId="20" fillId="0" borderId="8" xfId="0" applyFont="1" applyBorder="1" applyAlignment="1">
      <alignment horizontal="justify" vertical="center"/>
    </xf>
    <xf numFmtId="0" fontId="5" fillId="0" borderId="8" xfId="0" applyFont="1" applyBorder="1" applyAlignment="1">
      <alignment horizontal="left"/>
    </xf>
    <xf numFmtId="0" fontId="5" fillId="0" borderId="8" xfId="0" applyFont="1" applyBorder="1" applyAlignment="1">
      <alignment vertical="center"/>
    </xf>
    <xf numFmtId="0" fontId="5" fillId="0" borderId="10" xfId="0" applyFont="1" applyBorder="1" applyAlignment="1">
      <alignment horizontal="left"/>
    </xf>
    <xf numFmtId="0" fontId="5" fillId="0" borderId="8" xfId="0" applyFont="1" applyBorder="1" applyAlignment="1">
      <alignment horizontal="left" vertical="top"/>
    </xf>
    <xf numFmtId="0" fontId="5" fillId="0" borderId="8" xfId="0" applyFont="1" applyBorder="1" applyAlignment="1">
      <alignment vertical="top"/>
    </xf>
    <xf numFmtId="0" fontId="3" fillId="0" borderId="8" xfId="0" applyFont="1" applyBorder="1" applyAlignment="1">
      <alignment vertical="center"/>
    </xf>
    <xf numFmtId="0" fontId="3" fillId="0" borderId="8" xfId="0" applyFont="1" applyBorder="1" applyAlignment="1">
      <alignment horizontal="left" vertical="top"/>
    </xf>
    <xf numFmtId="0" fontId="0" fillId="0" borderId="0" xfId="0" applyAlignment="1"/>
    <xf numFmtId="0" fontId="5" fillId="0" borderId="0" xfId="0" applyFont="1" applyAlignment="1"/>
    <xf numFmtId="0" fontId="3" fillId="0" borderId="8" xfId="0" applyFont="1" applyBorder="1" applyAlignment="1">
      <alignment vertical="top"/>
    </xf>
    <xf numFmtId="0" fontId="7" fillId="0" borderId="8" xfId="0" applyFont="1" applyBorder="1" applyAlignment="1">
      <alignment vertical="center"/>
    </xf>
    <xf numFmtId="0" fontId="5" fillId="0" borderId="8" xfId="0" applyFont="1" applyBorder="1" applyAlignment="1">
      <alignment horizontal="center" vertical="center"/>
    </xf>
    <xf numFmtId="0" fontId="3" fillId="0" borderId="0" xfId="0" applyFont="1" applyAlignment="1"/>
    <xf numFmtId="0" fontId="3" fillId="0" borderId="8" xfId="0" applyFont="1" applyBorder="1" applyAlignment="1">
      <alignment horizontal="right"/>
    </xf>
    <xf numFmtId="0" fontId="5" fillId="0" borderId="8" xfId="0" applyFont="1" applyBorder="1" applyAlignment="1">
      <alignment horizontal="left" vertical="center"/>
    </xf>
    <xf numFmtId="0" fontId="0" fillId="0" borderId="0" xfId="0" pivotButton="1" applyAlignment="1"/>
    <xf numFmtId="0" fontId="6" fillId="0" borderId="8" xfId="0" applyFont="1" applyBorder="1" applyAlignment="1"/>
    <xf numFmtId="0" fontId="7" fillId="0" borderId="8" xfId="0" applyFont="1" applyBorder="1" applyAlignment="1">
      <alignment horizontal="left" vertical="top"/>
    </xf>
    <xf numFmtId="164" fontId="5" fillId="0" borderId="8" xfId="0" applyNumberFormat="1" applyFont="1" applyBorder="1" applyAlignment="1"/>
    <xf numFmtId="0" fontId="7" fillId="0" borderId="0" xfId="0" applyFont="1" applyAlignment="1">
      <alignment vertical="center"/>
    </xf>
    <xf numFmtId="0" fontId="13" fillId="0" borderId="8" xfId="0" applyFont="1" applyBorder="1" applyAlignment="1">
      <alignment horizontal="left" vertical="top"/>
    </xf>
    <xf numFmtId="0" fontId="14" fillId="0" borderId="8" xfId="0" applyFont="1" applyBorder="1" applyAlignment="1">
      <alignment horizontal="left" vertical="center"/>
    </xf>
    <xf numFmtId="0" fontId="8" fillId="0" borderId="9" xfId="0" applyFont="1" applyBorder="1" applyAlignment="1">
      <alignment vertical="center"/>
    </xf>
    <xf numFmtId="0" fontId="7" fillId="0" borderId="8" xfId="0" applyFont="1" applyBorder="1" applyAlignment="1">
      <alignment horizontal="center" vertical="center"/>
    </xf>
    <xf numFmtId="0" fontId="6" fillId="0" borderId="8" xfId="0" applyFont="1" applyBorder="1" applyAlignment="1">
      <alignment vertical="center"/>
    </xf>
    <xf numFmtId="0" fontId="10" fillId="0" borderId="0" xfId="0" applyFont="1" applyAlignment="1"/>
    <xf numFmtId="0" fontId="8" fillId="0" borderId="8" xfId="0" applyFont="1" applyBorder="1" applyAlignment="1">
      <alignment vertical="center"/>
    </xf>
    <xf numFmtId="0" fontId="6" fillId="0" borderId="8" xfId="0" applyFont="1" applyBorder="1" applyAlignment="1">
      <alignment horizontal="left"/>
    </xf>
    <xf numFmtId="0" fontId="3" fillId="0" borderId="8" xfId="0" applyFont="1" applyBorder="1" applyAlignment="1">
      <alignment horizontal="left" vertical="center"/>
    </xf>
    <xf numFmtId="0" fontId="6" fillId="0" borderId="8" xfId="0" applyFont="1" applyBorder="1" applyAlignment="1">
      <alignment horizontal="center" vertical="top"/>
    </xf>
    <xf numFmtId="0" fontId="5" fillId="0" borderId="8" xfId="0" applyFont="1" applyBorder="1" applyAlignment="1">
      <alignment horizontal="center" vertical="top"/>
    </xf>
    <xf numFmtId="164" fontId="3" fillId="0" borderId="8" xfId="0" applyNumberFormat="1" applyFont="1" applyBorder="1" applyAlignment="1"/>
    <xf numFmtId="0" fontId="10" fillId="0" borderId="8" xfId="0" applyFont="1" applyBorder="1" applyAlignment="1">
      <alignment vertical="center"/>
    </xf>
    <xf numFmtId="0" fontId="5" fillId="0" borderId="0" xfId="0" applyFont="1" applyAlignment="1">
      <alignment horizontal="left" vertical="center"/>
    </xf>
    <xf numFmtId="0" fontId="7" fillId="0" borderId="8" xfId="0" applyFont="1" applyBorder="1" applyAlignment="1">
      <alignment horizontal="left" vertical="center"/>
    </xf>
    <xf numFmtId="0" fontId="6" fillId="0" borderId="9" xfId="0" applyFont="1" applyBorder="1" applyAlignment="1"/>
    <xf numFmtId="0" fontId="5" fillId="0" borderId="9" xfId="0" applyFont="1" applyBorder="1" applyAlignment="1"/>
    <xf numFmtId="0" fontId="14" fillId="0" borderId="8" xfId="0" applyFont="1" applyBorder="1" applyAlignment="1">
      <alignment horizontal="left" vertical="top"/>
    </xf>
    <xf numFmtId="0" fontId="13" fillId="0" borderId="0" xfId="0" applyFont="1" applyAlignment="1">
      <alignment horizontal="left" vertical="top"/>
    </xf>
    <xf numFmtId="0" fontId="8" fillId="0" borderId="0" xfId="0" applyFont="1" applyAlignment="1">
      <alignment vertical="center"/>
    </xf>
    <xf numFmtId="0" fontId="5" fillId="0" borderId="10" xfId="0" applyFont="1" applyBorder="1" applyAlignment="1"/>
    <xf numFmtId="0" fontId="5" fillId="0" borderId="10" xfId="0" applyFont="1" applyBorder="1" applyAlignment="1">
      <alignment horizontal="left" vertical="center"/>
    </xf>
    <xf numFmtId="0" fontId="0" fillId="7" borderId="0" xfId="0" applyFill="1" applyAlignment="1">
      <alignment horizontal="center" vertical="top"/>
    </xf>
    <xf numFmtId="0" fontId="0" fillId="0" borderId="0" xfId="0" applyFont="1" applyAlignment="1">
      <alignment vertical="top"/>
    </xf>
    <xf numFmtId="0" fontId="0" fillId="0" borderId="0" xfId="0" applyFont="1" applyAlignment="1">
      <alignment horizontal="center" vertical="top"/>
    </xf>
    <xf numFmtId="0" fontId="0" fillId="8" borderId="0" xfId="0" applyFont="1" applyFill="1" applyBorder="1" applyAlignment="1">
      <alignment horizontal="center" vertical="top"/>
    </xf>
    <xf numFmtId="0" fontId="36" fillId="0" borderId="0" xfId="0" applyFont="1"/>
    <xf numFmtId="0" fontId="36" fillId="0" borderId="0" xfId="0" applyFont="1" applyAlignment="1">
      <alignment wrapText="1"/>
    </xf>
    <xf numFmtId="0" fontId="0" fillId="0" borderId="11" xfId="0" applyBorder="1" applyAlignment="1">
      <alignment vertical="top"/>
    </xf>
    <xf numFmtId="0" fontId="0" fillId="0" borderId="11" xfId="0" applyBorder="1" applyAlignment="1">
      <alignment horizontal="center" vertical="top"/>
    </xf>
    <xf numFmtId="0" fontId="0" fillId="7" borderId="11" xfId="0" applyFill="1" applyBorder="1" applyAlignment="1">
      <alignment horizontal="center" vertical="top"/>
    </xf>
    <xf numFmtId="0" fontId="0" fillId="0" borderId="0" xfId="0" applyAlignment="1">
      <alignment horizontal="left" vertical="top"/>
    </xf>
    <xf numFmtId="0" fontId="40" fillId="9" borderId="12" xfId="0" applyFont="1" applyFill="1" applyBorder="1" applyAlignment="1">
      <alignment horizontal="left" vertical="center" wrapText="1"/>
    </xf>
    <xf numFmtId="0" fontId="40" fillId="9" borderId="12" xfId="0" applyFont="1" applyFill="1" applyBorder="1" applyAlignment="1">
      <alignment horizontal="center" vertical="center" wrapText="1"/>
    </xf>
    <xf numFmtId="1" fontId="40" fillId="9" borderId="12" xfId="0" applyNumberFormat="1" applyFont="1" applyFill="1" applyBorder="1" applyAlignment="1">
      <alignment horizontal="center" vertical="center" wrapText="1"/>
    </xf>
    <xf numFmtId="0" fontId="40" fillId="9" borderId="12" xfId="0" applyFont="1" applyFill="1" applyBorder="1" applyAlignment="1">
      <alignment horizontal="left" wrapText="1"/>
    </xf>
    <xf numFmtId="0" fontId="40" fillId="9" borderId="13" xfId="0" applyFont="1" applyFill="1" applyBorder="1" applyAlignment="1">
      <alignment horizontal="left" vertical="center" wrapText="1"/>
    </xf>
    <xf numFmtId="0" fontId="0" fillId="0" borderId="0" xfId="0" applyFont="1" applyFill="1" applyBorder="1" applyAlignment="1">
      <alignment horizontal="center" vertical="top"/>
    </xf>
    <xf numFmtId="0" fontId="0" fillId="11" borderId="0" xfId="0" applyFill="1" applyAlignment="1">
      <alignment vertical="top"/>
    </xf>
    <xf numFmtId="0" fontId="41" fillId="0" borderId="0" xfId="1"/>
    <xf numFmtId="0" fontId="41" fillId="0" borderId="0" xfId="1" applyAlignment="1">
      <alignment horizontal="center" vertical="top"/>
    </xf>
    <xf numFmtId="0" fontId="41" fillId="7" borderId="11" xfId="1" applyFill="1" applyBorder="1" applyAlignment="1">
      <alignment horizontal="center" vertical="top"/>
    </xf>
    <xf numFmtId="0" fontId="42" fillId="10" borderId="11" xfId="1" applyFont="1" applyFill="1" applyBorder="1" applyAlignment="1">
      <alignment vertical="top"/>
    </xf>
    <xf numFmtId="0" fontId="40" fillId="10" borderId="11" xfId="1" applyFont="1" applyFill="1" applyBorder="1" applyAlignment="1">
      <alignment horizontal="left" vertical="center" wrapText="1"/>
    </xf>
    <xf numFmtId="0" fontId="42" fillId="0" borderId="11" xfId="1" applyFont="1" applyFill="1" applyBorder="1" applyAlignment="1">
      <alignment horizontal="center" vertical="top"/>
    </xf>
    <xf numFmtId="0" fontId="43" fillId="10" borderId="11" xfId="1" applyFont="1" applyFill="1" applyBorder="1" applyAlignment="1"/>
    <xf numFmtId="0" fontId="42" fillId="10" borderId="11" xfId="1" applyFont="1" applyFill="1" applyBorder="1" applyAlignment="1"/>
    <xf numFmtId="0" fontId="0" fillId="0" borderId="0" xfId="0" applyFont="1" applyAlignment="1">
      <alignment horizontal="center" vertical="center"/>
    </xf>
    <xf numFmtId="0" fontId="0" fillId="0" borderId="0" xfId="0" applyFont="1" applyAlignment="1"/>
    <xf numFmtId="0" fontId="44" fillId="2" borderId="0" xfId="0" applyFont="1" applyFill="1" applyAlignment="1">
      <alignment vertical="top"/>
    </xf>
    <xf numFmtId="0" fontId="45" fillId="0" borderId="0" xfId="0" applyFont="1" applyAlignment="1">
      <alignment vertical="top"/>
    </xf>
    <xf numFmtId="0" fontId="46" fillId="0" borderId="0" xfId="0" applyFont="1" applyAlignment="1">
      <alignment vertical="top"/>
    </xf>
    <xf numFmtId="0" fontId="0" fillId="12" borderId="11" xfId="0" applyFill="1" applyBorder="1" applyAlignment="1">
      <alignment horizontal="center" vertical="top"/>
    </xf>
  </cellXfs>
  <cellStyles count="2">
    <cellStyle name="Normal" xfId="0" builtinId="0"/>
    <cellStyle name="Normal 2" xfId="1" xr:uid="{00000000-0005-0000-0000-00002F000000}"/>
  </cellStyles>
  <dxfs count="5">
    <dxf>
      <alignment wrapText="0"/>
    </dxf>
    <dxf>
      <alignment wrapText="0"/>
    </dxf>
    <dxf>
      <alignment wrapText="0"/>
    </dxf>
    <dxf>
      <alignment wrapText="0"/>
    </dxf>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742950</xdr:colOff>
      <xdr:row>79</xdr:row>
      <xdr:rowOff>9525</xdr:rowOff>
    </xdr:from>
    <xdr:to>
      <xdr:col>2</xdr:col>
      <xdr:colOff>66675</xdr:colOff>
      <xdr:row>91</xdr:row>
      <xdr:rowOff>0</xdr:rowOff>
    </xdr:to>
    <xdr:sp macro="" textlink="">
      <xdr:nvSpPr>
        <xdr:cNvPr id="2" name="Left Brace 1">
          <a:extLst>
            <a:ext uri="{FF2B5EF4-FFF2-40B4-BE49-F238E27FC236}">
              <a16:creationId xmlns:a16="http://schemas.microsoft.com/office/drawing/2014/main" id="{5793469E-EA3D-42E5-8D4F-8A25FE0CD673}"/>
            </a:ext>
          </a:extLst>
        </xdr:cNvPr>
        <xdr:cNvSpPr/>
      </xdr:nvSpPr>
      <xdr:spPr>
        <a:xfrm>
          <a:off x="2247900" y="18602325"/>
          <a:ext cx="390525" cy="2276475"/>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ju Nathan" refreshedDate="43123.768426388888" createdVersion="6" refreshedVersion="6" minRefreshableVersion="3" recordCount="1228" xr:uid="{6ED7F8E8-1B4B-418E-B15B-087193CBE0EA}">
  <cacheSource type="worksheet">
    <worksheetSource ref="B1:B1048576" sheet="Sheet1"/>
  </cacheSource>
  <cacheFields count="1">
    <cacheField name="FSD Section ID#" numFmtId="0">
      <sharedItems containsBlank="1" containsMixedTypes="1" containsNumber="1" minValue="1.3" maxValue="10" count="73">
        <n v="10"/>
        <n v="9.1"/>
        <n v="9.1999999999999993"/>
        <s v="9.3.1"/>
        <s v="9.3.2"/>
        <s v="9.3.3"/>
        <s v="9.3.4"/>
        <n v="9.4"/>
        <n v="9.5"/>
        <n v="9.6"/>
        <n v="9.6999999999999993"/>
        <n v="9.8000000000000007"/>
        <n v="9.9"/>
        <s v="9.10"/>
        <n v="9.11"/>
        <n v="9.1199999999999992"/>
        <n v="9.1300000000000008"/>
        <n v="9.14"/>
        <n v="9.15"/>
        <n v="7"/>
        <n v="8"/>
        <n v="1.3"/>
        <n v="4.0999999999999996"/>
        <n v="4.2"/>
        <n v="4.3"/>
        <n v="4.4000000000000004"/>
        <n v="4.5"/>
        <n v="4.5999999999999996"/>
        <n v="4.7"/>
        <n v="4.8"/>
        <n v="4.9000000000000004"/>
        <s v="4.10"/>
        <n v="4.1100000000000003"/>
        <n v="4.12"/>
        <n v="4.13"/>
        <n v="4.1399999999999997"/>
        <n v="4.1500000000000004"/>
        <n v="4.16"/>
        <n v="6.11"/>
        <n v="6.12"/>
        <n v="6.13"/>
        <n v="6.14"/>
        <n v="5"/>
        <n v="6.1"/>
        <s v="6.1.1"/>
        <n v="6.2"/>
        <n v="6.3"/>
        <s v="6.3.1.1"/>
        <s v="6.3.1.2"/>
        <s v="6.3.1.3"/>
        <n v="6.4"/>
        <s v="6.4.1"/>
        <n v="6.5"/>
        <n v="6.6"/>
        <n v="6.7"/>
        <n v="6.8"/>
        <s v="6.8.1"/>
        <n v="6.9"/>
        <s v="6.10"/>
        <n v="6.16"/>
        <n v="6.17"/>
        <n v="6.18"/>
        <n v="6.19"/>
        <s v="6.20"/>
        <n v="6.21"/>
        <s v="6.21.1"/>
        <s v="6.21.2"/>
        <s v="6.21.3"/>
        <s v="6.21.4"/>
        <n v="9.3000000000000007"/>
        <s v="9.8,9.9"/>
        <s v="6.3.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8">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5"/>
  </r>
  <r>
    <x v="5"/>
  </r>
  <r>
    <x v="5"/>
  </r>
  <r>
    <x v="5"/>
  </r>
  <r>
    <x v="5"/>
  </r>
  <r>
    <x v="5"/>
  </r>
  <r>
    <x v="5"/>
  </r>
  <r>
    <x v="5"/>
  </r>
  <r>
    <x v="5"/>
  </r>
  <r>
    <x v="5"/>
  </r>
  <r>
    <x v="5"/>
  </r>
  <r>
    <x v="5"/>
  </r>
  <r>
    <x v="5"/>
  </r>
  <r>
    <x v="5"/>
  </r>
  <r>
    <x v="5"/>
  </r>
  <r>
    <x v="5"/>
  </r>
  <r>
    <x v="6"/>
  </r>
  <r>
    <x v="6"/>
  </r>
  <r>
    <x v="6"/>
  </r>
  <r>
    <x v="6"/>
  </r>
  <r>
    <x v="6"/>
  </r>
  <r>
    <x v="6"/>
  </r>
  <r>
    <x v="6"/>
  </r>
  <r>
    <x v="6"/>
  </r>
  <r>
    <x v="6"/>
  </r>
  <r>
    <x v="6"/>
  </r>
  <r>
    <x v="6"/>
  </r>
  <r>
    <x v="6"/>
  </r>
  <r>
    <x v="6"/>
  </r>
  <r>
    <x v="6"/>
  </r>
  <r>
    <x v="6"/>
  </r>
  <r>
    <x v="6"/>
  </r>
  <r>
    <x v="6"/>
  </r>
  <r>
    <x v="6"/>
  </r>
  <r>
    <x v="7"/>
  </r>
  <r>
    <x v="7"/>
  </r>
  <r>
    <x v="7"/>
  </r>
  <r>
    <x v="7"/>
  </r>
  <r>
    <x v="8"/>
  </r>
  <r>
    <x v="9"/>
  </r>
  <r>
    <x v="9"/>
  </r>
  <r>
    <x v="9"/>
  </r>
  <r>
    <x v="9"/>
  </r>
  <r>
    <x v="9"/>
  </r>
  <r>
    <x v="10"/>
  </r>
  <r>
    <x v="10"/>
  </r>
  <r>
    <x v="10"/>
  </r>
  <r>
    <x v="10"/>
  </r>
  <r>
    <x v="11"/>
  </r>
  <r>
    <x v="11"/>
  </r>
  <r>
    <x v="12"/>
  </r>
  <r>
    <x v="12"/>
  </r>
  <r>
    <x v="12"/>
  </r>
  <r>
    <x v="13"/>
  </r>
  <r>
    <x v="14"/>
  </r>
  <r>
    <x v="14"/>
  </r>
  <r>
    <x v="14"/>
  </r>
  <r>
    <x v="14"/>
  </r>
  <r>
    <x v="14"/>
  </r>
  <r>
    <x v="14"/>
  </r>
  <r>
    <x v="14"/>
  </r>
  <r>
    <x v="14"/>
  </r>
  <r>
    <x v="14"/>
  </r>
  <r>
    <x v="14"/>
  </r>
  <r>
    <x v="15"/>
  </r>
  <r>
    <x v="15"/>
  </r>
  <r>
    <x v="15"/>
  </r>
  <r>
    <x v="15"/>
  </r>
  <r>
    <x v="15"/>
  </r>
  <r>
    <x v="15"/>
  </r>
  <r>
    <x v="15"/>
  </r>
  <r>
    <x v="15"/>
  </r>
  <r>
    <x v="15"/>
  </r>
  <r>
    <x v="15"/>
  </r>
  <r>
    <x v="15"/>
  </r>
  <r>
    <x v="15"/>
  </r>
  <r>
    <x v="15"/>
  </r>
  <r>
    <x v="16"/>
  </r>
  <r>
    <x v="16"/>
  </r>
  <r>
    <x v="16"/>
  </r>
  <r>
    <x v="16"/>
  </r>
  <r>
    <x v="16"/>
  </r>
  <r>
    <x v="16"/>
  </r>
  <r>
    <x v="16"/>
  </r>
  <r>
    <x v="16"/>
  </r>
  <r>
    <x v="16"/>
  </r>
  <r>
    <x v="16"/>
  </r>
  <r>
    <x v="16"/>
  </r>
  <r>
    <x v="16"/>
  </r>
  <r>
    <x v="16"/>
  </r>
  <r>
    <x v="16"/>
  </r>
  <r>
    <x v="17"/>
  </r>
  <r>
    <x v="17"/>
  </r>
  <r>
    <x v="17"/>
  </r>
  <r>
    <x v="17"/>
  </r>
  <r>
    <x v="17"/>
  </r>
  <r>
    <x v="17"/>
  </r>
  <r>
    <x v="17"/>
  </r>
  <r>
    <x v="17"/>
  </r>
  <r>
    <x v="17"/>
  </r>
  <r>
    <x v="17"/>
  </r>
  <r>
    <x v="17"/>
  </r>
  <r>
    <x v="17"/>
  </r>
  <r>
    <x v="17"/>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19"/>
  </r>
  <r>
    <x v="20"/>
  </r>
  <r>
    <x v="20"/>
  </r>
  <r>
    <x v="20"/>
  </r>
  <r>
    <x v="20"/>
  </r>
  <r>
    <x v="20"/>
  </r>
  <r>
    <x v="20"/>
  </r>
  <r>
    <x v="20"/>
  </r>
  <r>
    <x v="20"/>
  </r>
  <r>
    <x v="20"/>
  </r>
  <r>
    <x v="20"/>
  </r>
  <r>
    <x v="20"/>
  </r>
  <r>
    <x v="20"/>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1"/>
  </r>
  <r>
    <x v="22"/>
  </r>
  <r>
    <x v="22"/>
  </r>
  <r>
    <x v="22"/>
  </r>
  <r>
    <x v="22"/>
  </r>
  <r>
    <x v="22"/>
  </r>
  <r>
    <x v="22"/>
  </r>
  <r>
    <x v="22"/>
  </r>
  <r>
    <x v="22"/>
  </r>
  <r>
    <x v="22"/>
  </r>
  <r>
    <x v="22"/>
  </r>
  <r>
    <x v="23"/>
  </r>
  <r>
    <x v="23"/>
  </r>
  <r>
    <x v="23"/>
  </r>
  <r>
    <x v="23"/>
  </r>
  <r>
    <x v="23"/>
  </r>
  <r>
    <x v="23"/>
  </r>
  <r>
    <x v="23"/>
  </r>
  <r>
    <x v="23"/>
  </r>
  <r>
    <x v="23"/>
  </r>
  <r>
    <x v="23"/>
  </r>
  <r>
    <x v="24"/>
  </r>
  <r>
    <x v="24"/>
  </r>
  <r>
    <x v="24"/>
  </r>
  <r>
    <x v="24"/>
  </r>
  <r>
    <x v="25"/>
  </r>
  <r>
    <x v="25"/>
  </r>
  <r>
    <x v="25"/>
  </r>
  <r>
    <x v="25"/>
  </r>
  <r>
    <x v="26"/>
  </r>
  <r>
    <x v="26"/>
  </r>
  <r>
    <x v="27"/>
  </r>
  <r>
    <x v="28"/>
  </r>
  <r>
    <x v="28"/>
  </r>
  <r>
    <x v="28"/>
  </r>
  <r>
    <x v="28"/>
  </r>
  <r>
    <x v="28"/>
  </r>
  <r>
    <x v="28"/>
  </r>
  <r>
    <x v="28"/>
  </r>
  <r>
    <x v="28"/>
  </r>
  <r>
    <x v="28"/>
  </r>
  <r>
    <x v="28"/>
  </r>
  <r>
    <x v="28"/>
  </r>
  <r>
    <x v="28"/>
  </r>
  <r>
    <x v="29"/>
  </r>
  <r>
    <x v="29"/>
  </r>
  <r>
    <x v="29"/>
  </r>
  <r>
    <x v="29"/>
  </r>
  <r>
    <x v="29"/>
  </r>
  <r>
    <x v="29"/>
  </r>
  <r>
    <x v="29"/>
  </r>
  <r>
    <x v="29"/>
  </r>
  <r>
    <x v="30"/>
  </r>
  <r>
    <x v="30"/>
  </r>
  <r>
    <x v="30"/>
  </r>
  <r>
    <x v="30"/>
  </r>
  <r>
    <x v="30"/>
  </r>
  <r>
    <x v="30"/>
  </r>
  <r>
    <x v="30"/>
  </r>
  <r>
    <x v="30"/>
  </r>
  <r>
    <x v="30"/>
  </r>
  <r>
    <x v="30"/>
  </r>
  <r>
    <x v="30"/>
  </r>
  <r>
    <x v="31"/>
  </r>
  <r>
    <x v="31"/>
  </r>
  <r>
    <x v="31"/>
  </r>
  <r>
    <x v="32"/>
  </r>
  <r>
    <x v="33"/>
  </r>
  <r>
    <x v="34"/>
  </r>
  <r>
    <x v="35"/>
  </r>
  <r>
    <x v="35"/>
  </r>
  <r>
    <x v="35"/>
  </r>
  <r>
    <x v="35"/>
  </r>
  <r>
    <x v="35"/>
  </r>
  <r>
    <x v="35"/>
  </r>
  <r>
    <x v="35"/>
  </r>
  <r>
    <x v="35"/>
  </r>
  <r>
    <x v="35"/>
  </r>
  <r>
    <x v="36"/>
  </r>
  <r>
    <x v="37"/>
  </r>
  <r>
    <x v="37"/>
  </r>
  <r>
    <x v="37"/>
  </r>
  <r>
    <x v="37"/>
  </r>
  <r>
    <x v="37"/>
  </r>
  <r>
    <x v="37"/>
  </r>
  <r>
    <x v="37"/>
  </r>
  <r>
    <x v="37"/>
  </r>
  <r>
    <x v="37"/>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8"/>
  </r>
  <r>
    <x v="39"/>
  </r>
  <r>
    <x v="39"/>
  </r>
  <r>
    <x v="39"/>
  </r>
  <r>
    <x v="39"/>
  </r>
  <r>
    <x v="39"/>
  </r>
  <r>
    <x v="39"/>
  </r>
  <r>
    <x v="39"/>
  </r>
  <r>
    <x v="39"/>
  </r>
  <r>
    <x v="39"/>
  </r>
  <r>
    <x v="39"/>
  </r>
  <r>
    <x v="39"/>
  </r>
  <r>
    <x v="39"/>
  </r>
  <r>
    <x v="39"/>
  </r>
  <r>
    <x v="39"/>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0"/>
  </r>
  <r>
    <x v="41"/>
  </r>
  <r>
    <x v="41"/>
  </r>
  <r>
    <x v="41"/>
  </r>
  <r>
    <x v="41"/>
  </r>
  <r>
    <x v="41"/>
  </r>
  <r>
    <x v="41"/>
  </r>
  <r>
    <x v="41"/>
  </r>
  <r>
    <x v="41"/>
  </r>
  <r>
    <x v="41"/>
  </r>
  <r>
    <x v="41"/>
  </r>
  <r>
    <x v="41"/>
  </r>
  <r>
    <x v="41"/>
  </r>
  <r>
    <x v="41"/>
  </r>
  <r>
    <x v="41"/>
  </r>
  <r>
    <x v="41"/>
  </r>
  <r>
    <x v="41"/>
  </r>
  <r>
    <x v="41"/>
  </r>
  <r>
    <x v="41"/>
  </r>
  <r>
    <x v="41"/>
  </r>
  <r>
    <x v="41"/>
  </r>
  <r>
    <x v="41"/>
  </r>
  <r>
    <x v="41"/>
  </r>
  <r>
    <x v="41"/>
  </r>
  <r>
    <x v="42"/>
  </r>
  <r>
    <x v="42"/>
  </r>
  <r>
    <x v="42"/>
  </r>
  <r>
    <x v="42"/>
  </r>
  <r>
    <x v="43"/>
  </r>
  <r>
    <x v="43"/>
  </r>
  <r>
    <x v="43"/>
  </r>
  <r>
    <x v="43"/>
  </r>
  <r>
    <x v="43"/>
  </r>
  <r>
    <x v="43"/>
  </r>
  <r>
    <x v="43"/>
  </r>
  <r>
    <x v="43"/>
  </r>
  <r>
    <x v="43"/>
  </r>
  <r>
    <x v="43"/>
  </r>
  <r>
    <x v="43"/>
  </r>
  <r>
    <x v="43"/>
  </r>
  <r>
    <x v="43"/>
  </r>
  <r>
    <x v="43"/>
  </r>
  <r>
    <x v="43"/>
  </r>
  <r>
    <x v="43"/>
  </r>
  <r>
    <x v="43"/>
  </r>
  <r>
    <x v="43"/>
  </r>
  <r>
    <x v="43"/>
  </r>
  <r>
    <x v="43"/>
  </r>
  <r>
    <x v="43"/>
  </r>
  <r>
    <x v="43"/>
  </r>
  <r>
    <x v="43"/>
  </r>
  <r>
    <x v="43"/>
  </r>
  <r>
    <x v="44"/>
  </r>
  <r>
    <x v="44"/>
  </r>
  <r>
    <x v="44"/>
  </r>
  <r>
    <x v="44"/>
  </r>
  <r>
    <x v="44"/>
  </r>
  <r>
    <x v="45"/>
  </r>
  <r>
    <x v="45"/>
  </r>
  <r>
    <x v="45"/>
  </r>
  <r>
    <x v="45"/>
  </r>
  <r>
    <x v="45"/>
  </r>
  <r>
    <x v="45"/>
  </r>
  <r>
    <x v="45"/>
  </r>
  <r>
    <x v="45"/>
  </r>
  <r>
    <x v="45"/>
  </r>
  <r>
    <x v="45"/>
  </r>
  <r>
    <x v="45"/>
  </r>
  <r>
    <x v="45"/>
  </r>
  <r>
    <x v="45"/>
  </r>
  <r>
    <x v="45"/>
  </r>
  <r>
    <x v="45"/>
  </r>
  <r>
    <x v="45"/>
  </r>
  <r>
    <x v="45"/>
  </r>
  <r>
    <x v="45"/>
  </r>
  <r>
    <x v="45"/>
  </r>
  <r>
    <x v="45"/>
  </r>
  <r>
    <x v="45"/>
  </r>
  <r>
    <x v="45"/>
  </r>
  <r>
    <x v="45"/>
  </r>
  <r>
    <x v="46"/>
  </r>
  <r>
    <x v="46"/>
  </r>
  <r>
    <x v="46"/>
  </r>
  <r>
    <x v="46"/>
  </r>
  <r>
    <x v="46"/>
  </r>
  <r>
    <x v="46"/>
  </r>
  <r>
    <x v="46"/>
  </r>
  <r>
    <x v="46"/>
  </r>
  <r>
    <x v="46"/>
  </r>
  <r>
    <x v="47"/>
  </r>
  <r>
    <x v="47"/>
  </r>
  <r>
    <x v="47"/>
  </r>
  <r>
    <x v="47"/>
  </r>
  <r>
    <x v="47"/>
  </r>
  <r>
    <x v="47"/>
  </r>
  <r>
    <x v="47"/>
  </r>
  <r>
    <x v="47"/>
  </r>
  <r>
    <x v="47"/>
  </r>
  <r>
    <x v="47"/>
  </r>
  <r>
    <x v="47"/>
  </r>
  <r>
    <x v="47"/>
  </r>
  <r>
    <x v="47"/>
  </r>
  <r>
    <x v="47"/>
  </r>
  <r>
    <x v="47"/>
  </r>
  <r>
    <x v="47"/>
  </r>
  <r>
    <x v="47"/>
  </r>
  <r>
    <x v="47"/>
  </r>
  <r>
    <x v="48"/>
  </r>
  <r>
    <x v="48"/>
  </r>
  <r>
    <x v="48"/>
  </r>
  <r>
    <x v="48"/>
  </r>
  <r>
    <x v="48"/>
  </r>
  <r>
    <x v="49"/>
  </r>
  <r>
    <x v="50"/>
  </r>
  <r>
    <x v="51"/>
  </r>
  <r>
    <x v="51"/>
  </r>
  <r>
    <x v="51"/>
  </r>
  <r>
    <x v="51"/>
  </r>
  <r>
    <x v="51"/>
  </r>
  <r>
    <x v="51"/>
  </r>
  <r>
    <x v="51"/>
  </r>
  <r>
    <x v="51"/>
  </r>
  <r>
    <x v="51"/>
  </r>
  <r>
    <x v="51"/>
  </r>
  <r>
    <x v="51"/>
  </r>
  <r>
    <x v="51"/>
  </r>
  <r>
    <x v="51"/>
  </r>
  <r>
    <x v="51"/>
  </r>
  <r>
    <x v="51"/>
  </r>
  <r>
    <x v="51"/>
  </r>
  <r>
    <x v="51"/>
  </r>
  <r>
    <x v="51"/>
  </r>
  <r>
    <x v="51"/>
  </r>
  <r>
    <x v="51"/>
  </r>
  <r>
    <x v="51"/>
  </r>
  <r>
    <x v="52"/>
  </r>
  <r>
    <x v="52"/>
  </r>
  <r>
    <x v="52"/>
  </r>
  <r>
    <x v="52"/>
  </r>
  <r>
    <x v="52"/>
  </r>
  <r>
    <x v="52"/>
  </r>
  <r>
    <x v="52"/>
  </r>
  <r>
    <x v="53"/>
  </r>
  <r>
    <x v="53"/>
  </r>
  <r>
    <x v="53"/>
  </r>
  <r>
    <x v="53"/>
  </r>
  <r>
    <x v="53"/>
  </r>
  <r>
    <x v="53"/>
  </r>
  <r>
    <x v="53"/>
  </r>
  <r>
    <x v="53"/>
  </r>
  <r>
    <x v="54"/>
  </r>
  <r>
    <x v="54"/>
  </r>
  <r>
    <x v="54"/>
  </r>
  <r>
    <x v="54"/>
  </r>
  <r>
    <x v="54"/>
  </r>
  <r>
    <x v="54"/>
  </r>
  <r>
    <x v="54"/>
  </r>
  <r>
    <x v="55"/>
  </r>
  <r>
    <x v="55"/>
  </r>
  <r>
    <x v="55"/>
  </r>
  <r>
    <x v="55"/>
  </r>
  <r>
    <x v="55"/>
  </r>
  <r>
    <x v="55"/>
  </r>
  <r>
    <x v="55"/>
  </r>
  <r>
    <x v="55"/>
  </r>
  <r>
    <x v="55"/>
  </r>
  <r>
    <x v="55"/>
  </r>
  <r>
    <x v="55"/>
  </r>
  <r>
    <x v="56"/>
  </r>
  <r>
    <x v="56"/>
  </r>
  <r>
    <x v="56"/>
  </r>
  <r>
    <x v="56"/>
  </r>
  <r>
    <x v="56"/>
  </r>
  <r>
    <x v="56"/>
  </r>
  <r>
    <x v="57"/>
  </r>
  <r>
    <x v="57"/>
  </r>
  <r>
    <x v="57"/>
  </r>
  <r>
    <x v="57"/>
  </r>
  <r>
    <x v="57"/>
  </r>
  <r>
    <x v="57"/>
  </r>
  <r>
    <x v="57"/>
  </r>
  <r>
    <x v="57"/>
  </r>
  <r>
    <x v="57"/>
  </r>
  <r>
    <x v="57"/>
  </r>
  <r>
    <x v="57"/>
  </r>
  <r>
    <x v="57"/>
  </r>
  <r>
    <x v="57"/>
  </r>
  <r>
    <x v="57"/>
  </r>
  <r>
    <x v="57"/>
  </r>
  <r>
    <x v="57"/>
  </r>
  <r>
    <x v="57"/>
  </r>
  <r>
    <x v="57"/>
  </r>
  <r>
    <x v="58"/>
  </r>
  <r>
    <x v="58"/>
  </r>
  <r>
    <x v="58"/>
  </r>
  <r>
    <x v="58"/>
  </r>
  <r>
    <x v="58"/>
  </r>
  <r>
    <x v="58"/>
  </r>
  <r>
    <x v="58"/>
  </r>
  <r>
    <x v="58"/>
  </r>
  <r>
    <x v="58"/>
  </r>
  <r>
    <x v="58"/>
  </r>
  <r>
    <x v="58"/>
  </r>
  <r>
    <x v="58"/>
  </r>
  <r>
    <x v="58"/>
  </r>
  <r>
    <x v="59"/>
  </r>
  <r>
    <x v="59"/>
  </r>
  <r>
    <x v="59"/>
  </r>
  <r>
    <x v="59"/>
  </r>
  <r>
    <x v="59"/>
  </r>
  <r>
    <x v="60"/>
  </r>
  <r>
    <x v="60"/>
  </r>
  <r>
    <x v="60"/>
  </r>
  <r>
    <x v="61"/>
  </r>
  <r>
    <x v="61"/>
  </r>
  <r>
    <x v="61"/>
  </r>
  <r>
    <x v="61"/>
  </r>
  <r>
    <x v="61"/>
  </r>
  <r>
    <x v="61"/>
  </r>
  <r>
    <x v="61"/>
  </r>
  <r>
    <x v="61"/>
  </r>
  <r>
    <x v="61"/>
  </r>
  <r>
    <x v="61"/>
  </r>
  <r>
    <x v="61"/>
  </r>
  <r>
    <x v="61"/>
  </r>
  <r>
    <x v="61"/>
  </r>
  <r>
    <x v="61"/>
  </r>
  <r>
    <x v="61"/>
  </r>
  <r>
    <x v="61"/>
  </r>
  <r>
    <x v="61"/>
  </r>
  <r>
    <x v="61"/>
  </r>
  <r>
    <x v="62"/>
  </r>
  <r>
    <x v="63"/>
  </r>
  <r>
    <x v="63"/>
  </r>
  <r>
    <x v="64"/>
  </r>
  <r>
    <x v="64"/>
  </r>
  <r>
    <x v="64"/>
  </r>
  <r>
    <x v="64"/>
  </r>
  <r>
    <x v="64"/>
  </r>
  <r>
    <x v="64"/>
  </r>
  <r>
    <x v="64"/>
  </r>
  <r>
    <x v="64"/>
  </r>
  <r>
    <x v="64"/>
  </r>
  <r>
    <x v="64"/>
  </r>
  <r>
    <x v="64"/>
  </r>
  <r>
    <x v="64"/>
  </r>
  <r>
    <x v="64"/>
  </r>
  <r>
    <x v="64"/>
  </r>
  <r>
    <x v="64"/>
  </r>
  <r>
    <x v="64"/>
  </r>
  <r>
    <x v="64"/>
  </r>
  <r>
    <x v="65"/>
  </r>
  <r>
    <x v="65"/>
  </r>
  <r>
    <x v="65"/>
  </r>
  <r>
    <x v="65"/>
  </r>
  <r>
    <x v="65"/>
  </r>
  <r>
    <x v="65"/>
  </r>
  <r>
    <x v="65"/>
  </r>
  <r>
    <x v="65"/>
  </r>
  <r>
    <x v="65"/>
  </r>
  <r>
    <x v="65"/>
  </r>
  <r>
    <x v="65"/>
  </r>
  <r>
    <x v="66"/>
  </r>
  <r>
    <x v="66"/>
  </r>
  <r>
    <x v="66"/>
  </r>
  <r>
    <x v="67"/>
  </r>
  <r>
    <x v="67"/>
  </r>
  <r>
    <x v="67"/>
  </r>
  <r>
    <x v="67"/>
  </r>
  <r>
    <x v="67"/>
  </r>
  <r>
    <x v="68"/>
  </r>
  <r>
    <x v="68"/>
  </r>
  <r>
    <x v="68"/>
  </r>
  <r>
    <x v="68"/>
  </r>
  <r>
    <x v="30"/>
  </r>
  <r>
    <x v="30"/>
  </r>
  <r>
    <x v="30"/>
  </r>
  <r>
    <x v="30"/>
  </r>
  <r>
    <x v="30"/>
  </r>
  <r>
    <x v="30"/>
  </r>
  <r>
    <x v="43"/>
  </r>
  <r>
    <x v="43"/>
  </r>
  <r>
    <x v="43"/>
  </r>
  <r>
    <x v="43"/>
  </r>
  <r>
    <x v="43"/>
  </r>
  <r>
    <x v="43"/>
  </r>
  <r>
    <x v="43"/>
  </r>
  <r>
    <x v="43"/>
  </r>
  <r>
    <x v="43"/>
  </r>
  <r>
    <x v="43"/>
  </r>
  <r>
    <x v="43"/>
  </r>
  <r>
    <x v="43"/>
  </r>
  <r>
    <x v="43"/>
  </r>
  <r>
    <x v="43"/>
  </r>
  <r>
    <x v="43"/>
  </r>
  <r>
    <x v="38"/>
  </r>
  <r>
    <x v="38"/>
  </r>
  <r>
    <x v="40"/>
  </r>
  <r>
    <x v="40"/>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61"/>
  </r>
  <r>
    <x v="45"/>
  </r>
  <r>
    <x v="45"/>
  </r>
  <r>
    <x v="45"/>
  </r>
  <r>
    <x v="45"/>
  </r>
  <r>
    <x v="45"/>
  </r>
  <r>
    <x v="45"/>
  </r>
  <r>
    <x v="45"/>
  </r>
  <r>
    <x v="45"/>
  </r>
  <r>
    <x v="45"/>
  </r>
  <r>
    <x v="45"/>
  </r>
  <r>
    <x v="45"/>
  </r>
  <r>
    <x v="45"/>
  </r>
  <r>
    <x v="45"/>
  </r>
  <r>
    <x v="45"/>
  </r>
  <r>
    <x v="45"/>
  </r>
  <r>
    <x v="45"/>
  </r>
  <r>
    <x v="45"/>
  </r>
  <r>
    <x v="45"/>
  </r>
  <r>
    <x v="45"/>
  </r>
  <r>
    <x v="55"/>
  </r>
  <r>
    <x v="55"/>
  </r>
  <r>
    <x v="55"/>
  </r>
  <r>
    <x v="55"/>
  </r>
  <r>
    <x v="55"/>
  </r>
  <r>
    <x v="55"/>
  </r>
  <r>
    <x v="55"/>
  </r>
  <r>
    <x v="55"/>
  </r>
  <r>
    <x v="55"/>
  </r>
  <r>
    <x v="19"/>
  </r>
  <r>
    <x v="19"/>
  </r>
  <r>
    <x v="19"/>
  </r>
  <r>
    <x v="19"/>
  </r>
  <r>
    <x v="19"/>
  </r>
  <r>
    <x v="19"/>
  </r>
  <r>
    <x v="19"/>
  </r>
  <r>
    <x v="19"/>
  </r>
  <r>
    <x v="19"/>
  </r>
  <r>
    <x v="19"/>
  </r>
  <r>
    <x v="19"/>
  </r>
  <r>
    <x v="19"/>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4"/>
  </r>
  <r>
    <x v="17"/>
  </r>
  <r>
    <x v="17"/>
  </r>
  <r>
    <x v="17"/>
  </r>
  <r>
    <x v="17"/>
  </r>
  <r>
    <x v="17"/>
  </r>
  <r>
    <x v="17"/>
  </r>
  <r>
    <x v="17"/>
  </r>
  <r>
    <x v="17"/>
  </r>
  <r>
    <x v="17"/>
  </r>
  <r>
    <x v="17"/>
  </r>
  <r>
    <x v="17"/>
  </r>
  <r>
    <x v="17"/>
  </r>
  <r>
    <x v="17"/>
  </r>
  <r>
    <x v="17"/>
  </r>
  <r>
    <x v="17"/>
  </r>
  <r>
    <x v="17"/>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18"/>
  </r>
  <r>
    <x v="69"/>
  </r>
  <r>
    <x v="69"/>
  </r>
  <r>
    <x v="69"/>
  </r>
  <r>
    <x v="69"/>
  </r>
  <r>
    <x v="69"/>
  </r>
  <r>
    <x v="10"/>
  </r>
  <r>
    <x v="10"/>
  </r>
  <r>
    <x v="10"/>
  </r>
  <r>
    <x v="10"/>
  </r>
  <r>
    <x v="70"/>
  </r>
  <r>
    <x v="70"/>
  </r>
  <r>
    <x v="70"/>
  </r>
  <r>
    <x v="70"/>
  </r>
  <r>
    <x v="70"/>
  </r>
  <r>
    <x v="70"/>
  </r>
  <r>
    <x v="70"/>
  </r>
  <r>
    <x v="70"/>
  </r>
  <r>
    <x v="70"/>
  </r>
  <r>
    <x v="70"/>
  </r>
  <r>
    <x v="70"/>
  </r>
  <r>
    <x v="70"/>
  </r>
  <r>
    <x v="70"/>
  </r>
  <r>
    <x v="70"/>
  </r>
  <r>
    <x v="70"/>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71"/>
  </r>
  <r>
    <x v="39"/>
  </r>
  <r>
    <x v="46"/>
  </r>
  <r>
    <x v="46"/>
  </r>
  <r>
    <x v="46"/>
  </r>
  <r>
    <x v="46"/>
  </r>
  <r>
    <x v="46"/>
  </r>
  <r>
    <x v="46"/>
  </r>
  <r>
    <x v="46"/>
  </r>
  <r>
    <x v="46"/>
  </r>
  <r>
    <x v="2"/>
  </r>
  <r>
    <x v="9"/>
  </r>
  <r>
    <x v="9"/>
  </r>
  <r>
    <x v="9"/>
  </r>
  <r>
    <x v="9"/>
  </r>
  <r>
    <x v="2"/>
  </r>
  <r>
    <x v="2"/>
  </r>
  <r>
    <x v="2"/>
  </r>
  <r>
    <x v="2"/>
  </r>
  <r>
    <x v="2"/>
  </r>
  <r>
    <x v="2"/>
  </r>
  <r>
    <x v="2"/>
  </r>
  <r>
    <x v="2"/>
  </r>
  <r>
    <x v="2"/>
  </r>
  <r>
    <x v="2"/>
  </r>
  <r>
    <x v="29"/>
  </r>
  <r>
    <x v="39"/>
  </r>
  <r>
    <x v="39"/>
  </r>
  <r>
    <x v="39"/>
  </r>
  <r>
    <x v="39"/>
  </r>
  <r>
    <x v="39"/>
  </r>
  <r>
    <x v="39"/>
  </r>
  <r>
    <x v="39"/>
  </r>
  <r>
    <x v="39"/>
  </r>
  <r>
    <x v="39"/>
  </r>
  <r>
    <x v="39"/>
  </r>
  <r>
    <x v="39"/>
  </r>
  <r>
    <x v="39"/>
  </r>
  <r>
    <x v="39"/>
  </r>
  <r>
    <x v="39"/>
  </r>
  <r>
    <x v="39"/>
  </r>
  <r>
    <x v="39"/>
  </r>
  <r>
    <x v="19"/>
  </r>
  <r>
    <x v="72"/>
  </r>
  <r>
    <x v="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D40350-C800-4F07-B7B7-4787C34822AF}"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M77" firstHeaderRow="1" firstDataRow="1" firstDataCol="1"/>
  <pivotFields count="1">
    <pivotField axis="axisRow" showAll="0">
      <items count="74">
        <item x="21"/>
        <item x="22"/>
        <item x="32"/>
        <item x="33"/>
        <item x="34"/>
        <item x="35"/>
        <item x="36"/>
        <item x="37"/>
        <item x="23"/>
        <item x="24"/>
        <item x="25"/>
        <item x="26"/>
        <item x="27"/>
        <item x="28"/>
        <item x="29"/>
        <item x="30"/>
        <item x="42"/>
        <item x="43"/>
        <item x="38"/>
        <item x="39"/>
        <item x="40"/>
        <item x="41"/>
        <item x="59"/>
        <item x="60"/>
        <item x="61"/>
        <item x="62"/>
        <item x="45"/>
        <item x="64"/>
        <item x="46"/>
        <item x="50"/>
        <item x="52"/>
        <item x="53"/>
        <item x="54"/>
        <item x="55"/>
        <item x="57"/>
        <item x="19"/>
        <item x="20"/>
        <item x="1"/>
        <item x="14"/>
        <item x="15"/>
        <item x="16"/>
        <item x="17"/>
        <item x="18"/>
        <item x="2"/>
        <item x="69"/>
        <item x="7"/>
        <item x="8"/>
        <item x="9"/>
        <item x="10"/>
        <item x="11"/>
        <item x="12"/>
        <item x="0"/>
        <item x="31"/>
        <item x="44"/>
        <item x="58"/>
        <item x="63"/>
        <item x="65"/>
        <item x="66"/>
        <item x="67"/>
        <item x="68"/>
        <item x="71"/>
        <item x="47"/>
        <item x="48"/>
        <item x="49"/>
        <item x="51"/>
        <item x="56"/>
        <item x="13"/>
        <item x="3"/>
        <item x="4"/>
        <item x="5"/>
        <item x="6"/>
        <item x="70"/>
        <item x="72"/>
        <item t="default"/>
      </items>
    </pivotField>
  </pivotFields>
  <rowFields count="1">
    <field x="0"/>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formats count="5">
    <format dxfId="4">
      <pivotArea type="all" dataOnly="0" outline="0" fieldPosition="0"/>
    </format>
    <format dxfId="3">
      <pivotArea field="0" type="button" dataOnly="0" labelOnly="1" outline="0" axis="axisRow" fieldPosition="0"/>
    </format>
    <format dxfId="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
      <pivotArea dataOnly="0" labelOnly="1" fieldPosition="0">
        <references count="1">
          <reference field="0" count="23">
            <x v="50"/>
            <x v="51"/>
            <x v="52"/>
            <x v="53"/>
            <x v="54"/>
            <x v="55"/>
            <x v="56"/>
            <x v="57"/>
            <x v="58"/>
            <x v="59"/>
            <x v="60"/>
            <x v="61"/>
            <x v="62"/>
            <x v="63"/>
            <x v="64"/>
            <x v="65"/>
            <x v="66"/>
            <x v="67"/>
            <x v="68"/>
            <x v="69"/>
            <x v="70"/>
            <x v="71"/>
            <x v="72"/>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107C-C898-4AB5-B73F-B8D57816B04A}">
  <dimension ref="A1:R91"/>
  <sheetViews>
    <sheetView tabSelected="1" workbookViewId="0">
      <pane ySplit="1" topLeftCell="A2" activePane="bottomLeft" state="frozen"/>
      <selection pane="bottomLeft" activeCell="E8" sqref="E8"/>
    </sheetView>
  </sheetViews>
  <sheetFormatPr defaultRowHeight="15" x14ac:dyDescent="0.25"/>
  <cols>
    <col min="1" max="1" width="22.5703125" style="1" customWidth="1"/>
    <col min="2" max="2" width="16" style="1" customWidth="1"/>
    <col min="3" max="5" width="13.28515625" style="2" customWidth="1"/>
    <col min="6" max="7" width="10.140625" style="2" customWidth="1"/>
    <col min="8" max="8" width="13.28515625" style="2" customWidth="1"/>
    <col min="9" max="9" width="10.140625" style="2" customWidth="1"/>
    <col min="10" max="10" width="7.7109375" style="2" customWidth="1"/>
    <col min="11" max="11" width="10.140625" style="2" customWidth="1"/>
    <col min="12" max="12" width="14" style="2" customWidth="1"/>
    <col min="13" max="13" width="9.85546875" style="2" customWidth="1"/>
    <col min="14" max="15" width="9.140625" style="2"/>
    <col min="16" max="16" width="9.140625" style="1" customWidth="1"/>
    <col min="17" max="17" width="9.85546875" style="2" customWidth="1"/>
    <col min="18" max="16384" width="9.140625" style="1"/>
  </cols>
  <sheetData>
    <row r="1" spans="1:18" s="4" customFormat="1" ht="78.75" customHeight="1" thickBot="1" x14ac:dyDescent="0.3">
      <c r="A1" s="10" t="s">
        <v>0</v>
      </c>
      <c r="B1" s="10" t="s">
        <v>1998</v>
      </c>
      <c r="C1" s="5" t="s">
        <v>8</v>
      </c>
      <c r="D1" s="11" t="s">
        <v>7</v>
      </c>
      <c r="E1" s="12" t="s">
        <v>9</v>
      </c>
      <c r="F1" s="11" t="s">
        <v>6</v>
      </c>
      <c r="G1" s="6" t="s">
        <v>4</v>
      </c>
      <c r="H1" s="8" t="s">
        <v>5</v>
      </c>
      <c r="I1" s="7" t="s">
        <v>3</v>
      </c>
      <c r="J1" s="13" t="s">
        <v>14</v>
      </c>
      <c r="K1" s="14" t="s">
        <v>12</v>
      </c>
      <c r="L1" s="14" t="s">
        <v>11</v>
      </c>
      <c r="M1" s="15" t="s">
        <v>15</v>
      </c>
      <c r="N1" s="16" t="s">
        <v>10</v>
      </c>
      <c r="O1" s="17" t="s">
        <v>1</v>
      </c>
      <c r="P1" s="9" t="s">
        <v>2</v>
      </c>
      <c r="Q1" s="18" t="s">
        <v>1937</v>
      </c>
      <c r="R1" s="4" t="s">
        <v>18</v>
      </c>
    </row>
    <row r="2" spans="1:18" x14ac:dyDescent="0.25">
      <c r="A2" s="1" t="s">
        <v>16</v>
      </c>
      <c r="B2" s="1" t="s">
        <v>17</v>
      </c>
      <c r="C2" s="2">
        <v>500</v>
      </c>
      <c r="E2" s="3"/>
      <c r="F2" s="2">
        <v>489</v>
      </c>
      <c r="G2" s="3">
        <f t="shared" ref="G2:G7" si="0">F2*100/C2</f>
        <v>97.8</v>
      </c>
      <c r="H2" s="2">
        <v>54</v>
      </c>
      <c r="I2" s="3">
        <f t="shared" ref="I2:I7" si="1">H2*100/C2</f>
        <v>10.8</v>
      </c>
      <c r="J2" s="2">
        <v>578</v>
      </c>
      <c r="K2" s="2">
        <f>4*6*2*8</f>
        <v>384</v>
      </c>
      <c r="L2" s="2">
        <v>496</v>
      </c>
      <c r="M2" s="2">
        <f>90*2*8</f>
        <v>1440</v>
      </c>
      <c r="N2" s="2">
        <v>72</v>
      </c>
      <c r="O2" s="2">
        <v>72</v>
      </c>
      <c r="P2" s="3">
        <f>O2*100/N2</f>
        <v>100</v>
      </c>
      <c r="Q2" s="2">
        <v>474</v>
      </c>
    </row>
    <row r="3" spans="1:18" x14ac:dyDescent="0.25">
      <c r="A3" s="1" t="s">
        <v>1935</v>
      </c>
      <c r="B3" s="1" t="s">
        <v>1936</v>
      </c>
      <c r="C3" s="2">
        <v>2948</v>
      </c>
      <c r="D3" s="2">
        <v>305</v>
      </c>
      <c r="E3" s="85">
        <f>D3*100/(D3+C3)</f>
        <v>9.3759606517061176</v>
      </c>
      <c r="F3" s="2">
        <v>1421</v>
      </c>
      <c r="G3" s="85">
        <f t="shared" si="0"/>
        <v>48.202170963364992</v>
      </c>
      <c r="H3" s="2">
        <v>231</v>
      </c>
      <c r="I3" s="85">
        <f t="shared" si="1"/>
        <v>7.8358208955223878</v>
      </c>
      <c r="J3" s="2">
        <v>3964</v>
      </c>
      <c r="K3" s="2">
        <v>450</v>
      </c>
      <c r="L3" s="2">
        <v>3258</v>
      </c>
      <c r="M3" s="2">
        <v>1600</v>
      </c>
      <c r="N3" s="94">
        <v>68</v>
      </c>
      <c r="O3" s="94">
        <v>68</v>
      </c>
      <c r="P3" s="3">
        <f t="shared" ref="P3:P52" si="2">O3*100/N3</f>
        <v>100</v>
      </c>
      <c r="Q3" s="94"/>
    </row>
    <row r="4" spans="1:18" x14ac:dyDescent="0.25">
      <c r="A4" s="101" t="s">
        <v>2010</v>
      </c>
      <c r="B4" s="1" t="s">
        <v>2011</v>
      </c>
      <c r="C4" s="2">
        <v>31</v>
      </c>
      <c r="D4" s="2">
        <v>0</v>
      </c>
      <c r="E4" s="85">
        <f>D4*100/(D4+C4)</f>
        <v>0</v>
      </c>
      <c r="F4" s="2">
        <v>30</v>
      </c>
      <c r="G4" s="85">
        <f t="shared" si="0"/>
        <v>96.774193548387103</v>
      </c>
      <c r="H4" s="2">
        <v>1</v>
      </c>
      <c r="I4" s="85">
        <f t="shared" si="1"/>
        <v>3.225806451612903</v>
      </c>
      <c r="J4" s="2">
        <v>57</v>
      </c>
      <c r="K4" s="2">
        <v>36</v>
      </c>
      <c r="L4" s="2">
        <v>57</v>
      </c>
      <c r="M4" s="2">
        <v>180</v>
      </c>
      <c r="N4" s="2">
        <v>10</v>
      </c>
      <c r="O4" s="2">
        <v>10</v>
      </c>
      <c r="P4" s="85">
        <f t="shared" si="2"/>
        <v>100</v>
      </c>
      <c r="Q4" s="2">
        <v>57</v>
      </c>
    </row>
    <row r="5" spans="1:18" x14ac:dyDescent="0.25">
      <c r="A5" s="101" t="s">
        <v>2012</v>
      </c>
      <c r="B5" s="1" t="s">
        <v>2011</v>
      </c>
      <c r="C5" s="2">
        <v>14</v>
      </c>
      <c r="D5" s="2">
        <v>0</v>
      </c>
      <c r="E5" s="85">
        <f>D5*100/(D5+C5)</f>
        <v>0</v>
      </c>
      <c r="F5" s="2">
        <v>14</v>
      </c>
      <c r="G5" s="85">
        <f t="shared" si="0"/>
        <v>100</v>
      </c>
      <c r="H5" s="2">
        <v>0</v>
      </c>
      <c r="I5" s="85">
        <f t="shared" si="1"/>
        <v>0</v>
      </c>
      <c r="J5" s="2">
        <v>65</v>
      </c>
      <c r="K5" s="2">
        <v>40</v>
      </c>
      <c r="L5" s="2">
        <v>65</v>
      </c>
      <c r="M5" s="2">
        <v>170</v>
      </c>
      <c r="N5" s="2">
        <v>6</v>
      </c>
      <c r="O5" s="2">
        <v>6</v>
      </c>
      <c r="P5" s="85">
        <f>O5*100/N5</f>
        <v>100</v>
      </c>
      <c r="Q5" s="2">
        <v>65</v>
      </c>
    </row>
    <row r="6" spans="1:18" x14ac:dyDescent="0.25">
      <c r="A6" s="101" t="s">
        <v>2013</v>
      </c>
      <c r="B6" s="1" t="s">
        <v>2011</v>
      </c>
      <c r="C6" s="2">
        <v>8</v>
      </c>
      <c r="D6" s="2">
        <v>0</v>
      </c>
      <c r="E6" s="85">
        <f>D6*100/(D6+C6)</f>
        <v>0</v>
      </c>
      <c r="F6" s="2">
        <v>8</v>
      </c>
      <c r="G6" s="85">
        <f t="shared" si="0"/>
        <v>100</v>
      </c>
      <c r="H6" s="2">
        <v>0</v>
      </c>
      <c r="I6" s="85">
        <f t="shared" si="1"/>
        <v>0</v>
      </c>
      <c r="J6" s="2">
        <v>23</v>
      </c>
      <c r="K6" s="2">
        <v>9</v>
      </c>
      <c r="L6" s="2">
        <v>23</v>
      </c>
      <c r="M6" s="2">
        <v>36</v>
      </c>
      <c r="N6" s="2">
        <v>4</v>
      </c>
      <c r="O6" s="2">
        <v>4</v>
      </c>
      <c r="P6" s="85">
        <f>O6*100/N6</f>
        <v>100</v>
      </c>
      <c r="Q6" s="2">
        <v>23</v>
      </c>
    </row>
    <row r="7" spans="1:18" x14ac:dyDescent="0.25">
      <c r="A7" s="101" t="s">
        <v>2014</v>
      </c>
      <c r="B7" s="1" t="s">
        <v>2011</v>
      </c>
      <c r="C7" s="2">
        <v>2</v>
      </c>
      <c r="D7" s="2">
        <v>0</v>
      </c>
      <c r="E7" s="85">
        <f>D7*100/(D7+C7)</f>
        <v>0</v>
      </c>
      <c r="F7" s="2">
        <v>2</v>
      </c>
      <c r="G7" s="85">
        <f t="shared" si="0"/>
        <v>100</v>
      </c>
      <c r="H7" s="2">
        <v>2</v>
      </c>
      <c r="I7" s="85">
        <f t="shared" si="1"/>
        <v>100</v>
      </c>
      <c r="J7" s="2">
        <v>6</v>
      </c>
      <c r="K7" s="2">
        <v>1.5</v>
      </c>
      <c r="L7" s="2">
        <v>6</v>
      </c>
      <c r="M7" s="2">
        <v>7</v>
      </c>
      <c r="N7" s="2">
        <v>1</v>
      </c>
      <c r="O7" s="2">
        <v>1</v>
      </c>
      <c r="P7" s="85">
        <f>O7*100/N7</f>
        <v>100</v>
      </c>
      <c r="Q7" s="2">
        <v>4</v>
      </c>
    </row>
    <row r="8" spans="1:18" x14ac:dyDescent="0.25">
      <c r="A8" s="101" t="s">
        <v>2015</v>
      </c>
      <c r="B8" s="1" t="s">
        <v>2011</v>
      </c>
      <c r="C8" s="2">
        <v>6</v>
      </c>
      <c r="D8" s="2">
        <v>0</v>
      </c>
      <c r="E8" s="85">
        <f t="shared" ref="E8" si="3">D8*100/(D8+C8)</f>
        <v>0</v>
      </c>
      <c r="F8" s="2">
        <v>6</v>
      </c>
      <c r="G8" s="85">
        <f t="shared" ref="G8" si="4">F8*100/C8</f>
        <v>100</v>
      </c>
      <c r="H8" s="2">
        <v>0</v>
      </c>
      <c r="I8" s="85">
        <f t="shared" ref="I8" si="5">H8*100/C8</f>
        <v>0</v>
      </c>
      <c r="J8" s="2">
        <v>9</v>
      </c>
      <c r="K8" s="2">
        <v>2.5</v>
      </c>
      <c r="L8" s="2">
        <v>9</v>
      </c>
      <c r="M8" s="2">
        <v>9</v>
      </c>
      <c r="N8" s="2">
        <v>1</v>
      </c>
      <c r="O8" s="2">
        <v>1</v>
      </c>
      <c r="P8" s="85">
        <f t="shared" ref="P8" si="6">O8*100/N8</f>
        <v>100</v>
      </c>
      <c r="Q8" s="2">
        <v>9</v>
      </c>
    </row>
    <row r="9" spans="1:18" x14ac:dyDescent="0.25">
      <c r="A9" s="86" t="s">
        <v>1938</v>
      </c>
      <c r="B9" s="86" t="s">
        <v>1939</v>
      </c>
      <c r="C9" s="87">
        <v>4</v>
      </c>
      <c r="D9" s="87">
        <v>0</v>
      </c>
      <c r="E9" s="88">
        <f t="shared" ref="E9:E52" si="7">D9*100/(D9+C9)</f>
        <v>0</v>
      </c>
      <c r="F9" s="87">
        <v>4</v>
      </c>
      <c r="G9" s="88">
        <f t="shared" ref="G9:G51" si="8">F9*100/C9</f>
        <v>100</v>
      </c>
      <c r="H9" s="87">
        <v>0</v>
      </c>
      <c r="I9" s="88">
        <f t="shared" ref="I9:I52" si="9">H9*100/C9</f>
        <v>0</v>
      </c>
      <c r="J9" s="87">
        <v>8</v>
      </c>
      <c r="K9" s="87">
        <v>4.5</v>
      </c>
      <c r="L9" s="87">
        <v>8</v>
      </c>
      <c r="M9" s="87">
        <v>36</v>
      </c>
      <c r="N9" s="87">
        <v>9</v>
      </c>
      <c r="O9" s="87">
        <v>9</v>
      </c>
      <c r="P9" s="88">
        <f t="shared" si="2"/>
        <v>100</v>
      </c>
    </row>
    <row r="10" spans="1:18" x14ac:dyDescent="0.25">
      <c r="A10" s="86" t="s">
        <v>1940</v>
      </c>
      <c r="B10" s="86" t="s">
        <v>1939</v>
      </c>
      <c r="C10" s="87">
        <v>10</v>
      </c>
      <c r="D10" s="87">
        <v>0</v>
      </c>
      <c r="E10" s="88">
        <f t="shared" si="7"/>
        <v>0</v>
      </c>
      <c r="F10" s="87">
        <v>10</v>
      </c>
      <c r="G10" s="88">
        <f t="shared" si="8"/>
        <v>100</v>
      </c>
      <c r="H10" s="87">
        <v>1</v>
      </c>
      <c r="I10" s="88">
        <f t="shared" si="9"/>
        <v>10</v>
      </c>
      <c r="J10" s="87">
        <v>20</v>
      </c>
      <c r="K10" s="87">
        <v>4.5</v>
      </c>
      <c r="L10" s="87">
        <v>20</v>
      </c>
      <c r="M10" s="87">
        <v>36</v>
      </c>
      <c r="N10" s="87">
        <v>6</v>
      </c>
      <c r="O10" s="87">
        <v>6</v>
      </c>
      <c r="P10" s="88">
        <f t="shared" si="2"/>
        <v>100</v>
      </c>
    </row>
    <row r="11" spans="1:18" x14ac:dyDescent="0.25">
      <c r="A11" s="86" t="s">
        <v>1941</v>
      </c>
      <c r="B11" s="86" t="s">
        <v>1939</v>
      </c>
      <c r="C11" s="87">
        <v>3</v>
      </c>
      <c r="D11" s="87">
        <v>0</v>
      </c>
      <c r="E11" s="88">
        <f t="shared" si="7"/>
        <v>0</v>
      </c>
      <c r="F11" s="87">
        <v>3</v>
      </c>
      <c r="G11" s="88">
        <f t="shared" si="8"/>
        <v>100</v>
      </c>
      <c r="H11" s="87">
        <v>0</v>
      </c>
      <c r="I11" s="88">
        <f t="shared" si="9"/>
        <v>0</v>
      </c>
      <c r="J11" s="87">
        <v>21</v>
      </c>
      <c r="K11" s="87">
        <v>4.5</v>
      </c>
      <c r="L11" s="87">
        <v>21</v>
      </c>
      <c r="M11" s="87">
        <v>48</v>
      </c>
      <c r="N11" s="87">
        <v>2</v>
      </c>
      <c r="O11" s="87">
        <v>2</v>
      </c>
      <c r="P11" s="88">
        <f t="shared" si="2"/>
        <v>100</v>
      </c>
    </row>
    <row r="12" spans="1:18" x14ac:dyDescent="0.25">
      <c r="A12" s="86" t="s">
        <v>1942</v>
      </c>
      <c r="B12" s="86" t="s">
        <v>1939</v>
      </c>
      <c r="C12" s="87">
        <v>13</v>
      </c>
      <c r="D12" s="87">
        <v>0</v>
      </c>
      <c r="E12" s="88">
        <f t="shared" si="7"/>
        <v>0</v>
      </c>
      <c r="F12" s="87">
        <v>13</v>
      </c>
      <c r="G12" s="88">
        <f>F12*100/C12</f>
        <v>100</v>
      </c>
      <c r="H12" s="87">
        <v>1</v>
      </c>
      <c r="I12" s="88">
        <f t="shared" si="9"/>
        <v>7.6923076923076925</v>
      </c>
      <c r="J12" s="87">
        <v>20</v>
      </c>
      <c r="K12" s="87">
        <v>4.5</v>
      </c>
      <c r="L12" s="87">
        <v>19</v>
      </c>
      <c r="M12" s="87">
        <v>48</v>
      </c>
      <c r="N12" s="87">
        <v>11</v>
      </c>
      <c r="O12" s="87">
        <v>11</v>
      </c>
      <c r="P12" s="88">
        <f t="shared" si="2"/>
        <v>100</v>
      </c>
    </row>
    <row r="13" spans="1:18" x14ac:dyDescent="0.25">
      <c r="A13" s="86" t="s">
        <v>1943</v>
      </c>
      <c r="B13" s="86" t="s">
        <v>1939</v>
      </c>
      <c r="C13" s="87">
        <v>0</v>
      </c>
      <c r="D13" s="87">
        <v>0</v>
      </c>
      <c r="E13" s="88"/>
      <c r="F13" s="87">
        <v>0</v>
      </c>
      <c r="G13" s="88"/>
      <c r="H13" s="87">
        <v>0</v>
      </c>
      <c r="I13" s="88"/>
      <c r="J13" s="87">
        <v>12</v>
      </c>
      <c r="K13" s="87">
        <v>4.5</v>
      </c>
      <c r="L13" s="87">
        <v>12</v>
      </c>
      <c r="M13" s="87">
        <v>24</v>
      </c>
      <c r="N13" s="87">
        <v>1</v>
      </c>
      <c r="O13" s="87">
        <v>1</v>
      </c>
      <c r="P13" s="88">
        <f t="shared" si="2"/>
        <v>100</v>
      </c>
    </row>
    <row r="14" spans="1:18" x14ac:dyDescent="0.25">
      <c r="A14" s="86" t="s">
        <v>1944</v>
      </c>
      <c r="B14" s="86" t="s">
        <v>1939</v>
      </c>
      <c r="C14" s="87">
        <v>15</v>
      </c>
      <c r="D14" s="87">
        <v>0</v>
      </c>
      <c r="E14" s="88">
        <f t="shared" si="7"/>
        <v>0</v>
      </c>
      <c r="F14" s="87">
        <v>15</v>
      </c>
      <c r="G14" s="88">
        <f t="shared" si="8"/>
        <v>100</v>
      </c>
      <c r="H14" s="87">
        <v>4</v>
      </c>
      <c r="I14" s="88">
        <f t="shared" si="9"/>
        <v>26.666666666666668</v>
      </c>
      <c r="J14" s="87">
        <v>50</v>
      </c>
      <c r="K14" s="87">
        <v>11</v>
      </c>
      <c r="L14" s="87">
        <v>47</v>
      </c>
      <c r="M14" s="87">
        <v>36</v>
      </c>
      <c r="N14" s="87">
        <v>7</v>
      </c>
      <c r="O14" s="87">
        <v>6</v>
      </c>
      <c r="P14" s="88">
        <f t="shared" si="2"/>
        <v>85.714285714285708</v>
      </c>
    </row>
    <row r="15" spans="1:18" x14ac:dyDescent="0.25">
      <c r="A15" s="86" t="s">
        <v>1945</v>
      </c>
      <c r="B15" s="86" t="s">
        <v>1939</v>
      </c>
      <c r="C15" s="87">
        <v>34</v>
      </c>
      <c r="D15" s="87">
        <v>0</v>
      </c>
      <c r="E15" s="88">
        <f t="shared" si="7"/>
        <v>0</v>
      </c>
      <c r="F15" s="87">
        <v>34</v>
      </c>
      <c r="G15" s="88">
        <f t="shared" si="8"/>
        <v>100</v>
      </c>
      <c r="H15" s="87">
        <v>1</v>
      </c>
      <c r="I15" s="88">
        <f t="shared" si="9"/>
        <v>2.9411764705882355</v>
      </c>
      <c r="J15" s="87">
        <v>277</v>
      </c>
      <c r="K15" s="87">
        <v>27</v>
      </c>
      <c r="L15" s="87">
        <v>204</v>
      </c>
      <c r="M15" s="87">
        <v>108</v>
      </c>
      <c r="N15" s="87">
        <v>24</v>
      </c>
      <c r="O15" s="87">
        <v>20</v>
      </c>
      <c r="P15" s="88">
        <f t="shared" si="2"/>
        <v>83.333333333333329</v>
      </c>
    </row>
    <row r="16" spans="1:18" x14ac:dyDescent="0.25">
      <c r="A16" s="86" t="s">
        <v>1946</v>
      </c>
      <c r="B16" s="86" t="s">
        <v>1939</v>
      </c>
      <c r="C16" s="87">
        <v>23</v>
      </c>
      <c r="D16" s="87">
        <v>0</v>
      </c>
      <c r="E16" s="88">
        <f t="shared" si="7"/>
        <v>0</v>
      </c>
      <c r="F16" s="87">
        <v>23</v>
      </c>
      <c r="G16" s="88">
        <f t="shared" si="8"/>
        <v>100</v>
      </c>
      <c r="H16" s="87">
        <v>1</v>
      </c>
      <c r="I16" s="88">
        <f t="shared" si="9"/>
        <v>4.3478260869565215</v>
      </c>
      <c r="J16" s="87">
        <v>58</v>
      </c>
      <c r="K16" s="87">
        <v>10</v>
      </c>
      <c r="L16" s="87">
        <v>58</v>
      </c>
      <c r="M16" s="87">
        <v>54</v>
      </c>
      <c r="N16" s="87">
        <v>11</v>
      </c>
      <c r="O16" s="87">
        <v>6</v>
      </c>
      <c r="P16" s="88">
        <f t="shared" si="2"/>
        <v>54.545454545454547</v>
      </c>
    </row>
    <row r="17" spans="1:16" x14ac:dyDescent="0.25">
      <c r="A17" s="86" t="s">
        <v>1947</v>
      </c>
      <c r="B17" s="86" t="s">
        <v>1939</v>
      </c>
      <c r="C17" s="87">
        <v>0</v>
      </c>
      <c r="D17" s="87">
        <v>0</v>
      </c>
      <c r="E17" s="88"/>
      <c r="F17" s="87">
        <v>0</v>
      </c>
      <c r="G17" s="88"/>
      <c r="H17" s="87">
        <v>0</v>
      </c>
      <c r="I17" s="88"/>
      <c r="J17" s="87">
        <v>3</v>
      </c>
      <c r="K17" s="87">
        <v>1</v>
      </c>
      <c r="L17" s="87">
        <v>3</v>
      </c>
      <c r="M17" s="87">
        <v>4.5</v>
      </c>
      <c r="N17" s="87">
        <v>1</v>
      </c>
      <c r="O17" s="87">
        <v>1</v>
      </c>
      <c r="P17" s="88">
        <f t="shared" si="2"/>
        <v>100</v>
      </c>
    </row>
    <row r="18" spans="1:16" x14ac:dyDescent="0.25">
      <c r="A18" s="86" t="s">
        <v>1948</v>
      </c>
      <c r="B18" s="86" t="s">
        <v>1939</v>
      </c>
      <c r="C18" s="87">
        <v>4</v>
      </c>
      <c r="D18" s="87">
        <v>0</v>
      </c>
      <c r="E18" s="88">
        <f t="shared" si="7"/>
        <v>0</v>
      </c>
      <c r="F18" s="87">
        <v>4</v>
      </c>
      <c r="G18" s="88">
        <f t="shared" si="8"/>
        <v>100</v>
      </c>
      <c r="H18" s="87">
        <v>1</v>
      </c>
      <c r="I18" s="88">
        <f t="shared" si="9"/>
        <v>25</v>
      </c>
      <c r="J18" s="87">
        <v>30</v>
      </c>
      <c r="K18" s="87">
        <v>9</v>
      </c>
      <c r="L18" s="87">
        <v>30</v>
      </c>
      <c r="M18" s="87">
        <v>18</v>
      </c>
      <c r="N18" s="87">
        <v>2</v>
      </c>
      <c r="O18" s="87">
        <v>2</v>
      </c>
      <c r="P18" s="88">
        <f t="shared" si="2"/>
        <v>100</v>
      </c>
    </row>
    <row r="19" spans="1:16" x14ac:dyDescent="0.25">
      <c r="A19" s="86" t="s">
        <v>1949</v>
      </c>
      <c r="B19" s="86" t="s">
        <v>1939</v>
      </c>
      <c r="C19" s="87">
        <v>1</v>
      </c>
      <c r="D19" s="87">
        <v>0</v>
      </c>
      <c r="E19" s="88">
        <f t="shared" si="7"/>
        <v>0</v>
      </c>
      <c r="F19" s="87">
        <v>1</v>
      </c>
      <c r="G19" s="88">
        <f t="shared" si="8"/>
        <v>100</v>
      </c>
      <c r="H19" s="87">
        <v>0</v>
      </c>
      <c r="I19" s="88">
        <f t="shared" si="9"/>
        <v>0</v>
      </c>
      <c r="J19" s="87">
        <v>10</v>
      </c>
      <c r="K19" s="87">
        <v>4.5</v>
      </c>
      <c r="L19" s="87">
        <v>9</v>
      </c>
      <c r="M19" s="87">
        <v>27</v>
      </c>
      <c r="N19" s="87">
        <v>9</v>
      </c>
      <c r="O19" s="87">
        <v>8</v>
      </c>
      <c r="P19" s="88">
        <f t="shared" si="2"/>
        <v>88.888888888888886</v>
      </c>
    </row>
    <row r="20" spans="1:16" x14ac:dyDescent="0.25">
      <c r="A20" s="86" t="s">
        <v>1950</v>
      </c>
      <c r="B20" s="86" t="s">
        <v>1939</v>
      </c>
      <c r="C20" s="87">
        <v>3</v>
      </c>
      <c r="D20" s="87">
        <v>0</v>
      </c>
      <c r="E20" s="88">
        <f t="shared" si="7"/>
        <v>0</v>
      </c>
      <c r="F20" s="87">
        <v>3</v>
      </c>
      <c r="G20" s="88">
        <f t="shared" si="8"/>
        <v>100</v>
      </c>
      <c r="H20" s="87">
        <v>0</v>
      </c>
      <c r="I20" s="88">
        <f t="shared" si="9"/>
        <v>0</v>
      </c>
      <c r="J20" s="87">
        <v>16</v>
      </c>
      <c r="K20" s="87">
        <v>4.5</v>
      </c>
      <c r="L20" s="87">
        <v>16</v>
      </c>
      <c r="M20" s="87">
        <v>27</v>
      </c>
      <c r="N20" s="87">
        <v>4</v>
      </c>
      <c r="O20" s="87">
        <v>4</v>
      </c>
      <c r="P20" s="88">
        <f t="shared" si="2"/>
        <v>100</v>
      </c>
    </row>
    <row r="21" spans="1:16" x14ac:dyDescent="0.25">
      <c r="A21" s="86" t="s">
        <v>1951</v>
      </c>
      <c r="B21" s="86" t="s">
        <v>1939</v>
      </c>
      <c r="C21" s="87">
        <v>0</v>
      </c>
      <c r="D21" s="87">
        <v>0</v>
      </c>
      <c r="E21" s="88"/>
      <c r="F21" s="87">
        <v>0</v>
      </c>
      <c r="G21" s="88"/>
      <c r="H21" s="87">
        <v>0</v>
      </c>
      <c r="I21" s="88"/>
      <c r="J21" s="87">
        <v>2</v>
      </c>
      <c r="K21" s="87">
        <v>2</v>
      </c>
      <c r="L21" s="87">
        <v>2</v>
      </c>
      <c r="M21" s="87">
        <v>9</v>
      </c>
      <c r="N21" s="87">
        <v>2</v>
      </c>
      <c r="O21" s="87">
        <v>2</v>
      </c>
      <c r="P21" s="88">
        <f t="shared" si="2"/>
        <v>100</v>
      </c>
    </row>
    <row r="22" spans="1:16" x14ac:dyDescent="0.25">
      <c r="A22" s="86" t="s">
        <v>1952</v>
      </c>
      <c r="B22" s="86" t="s">
        <v>1939</v>
      </c>
      <c r="C22" s="87">
        <v>3</v>
      </c>
      <c r="D22" s="87">
        <v>0</v>
      </c>
      <c r="E22" s="88">
        <f t="shared" si="7"/>
        <v>0</v>
      </c>
      <c r="F22" s="87">
        <v>3</v>
      </c>
      <c r="G22" s="88">
        <f t="shared" si="8"/>
        <v>100</v>
      </c>
      <c r="H22" s="87">
        <v>3</v>
      </c>
      <c r="I22" s="88">
        <f t="shared" si="9"/>
        <v>100</v>
      </c>
      <c r="J22" s="87">
        <v>35</v>
      </c>
      <c r="K22" s="87">
        <v>9</v>
      </c>
      <c r="L22" s="87">
        <v>35</v>
      </c>
      <c r="M22" s="87">
        <v>36</v>
      </c>
      <c r="N22" s="87">
        <v>5</v>
      </c>
      <c r="O22" s="87">
        <v>5</v>
      </c>
      <c r="P22" s="88">
        <f t="shared" si="2"/>
        <v>100</v>
      </c>
    </row>
    <row r="23" spans="1:16" x14ac:dyDescent="0.25">
      <c r="A23" s="86" t="s">
        <v>1953</v>
      </c>
      <c r="B23" s="86" t="s">
        <v>1939</v>
      </c>
      <c r="C23" s="87">
        <v>1</v>
      </c>
      <c r="D23" s="87">
        <v>0</v>
      </c>
      <c r="E23" s="88">
        <f t="shared" si="7"/>
        <v>0</v>
      </c>
      <c r="F23" s="87">
        <v>1</v>
      </c>
      <c r="G23" s="88">
        <f t="shared" si="8"/>
        <v>100</v>
      </c>
      <c r="H23" s="87">
        <v>1</v>
      </c>
      <c r="I23" s="88">
        <f t="shared" si="9"/>
        <v>100</v>
      </c>
      <c r="J23" s="87">
        <v>7</v>
      </c>
      <c r="K23" s="87">
        <v>3</v>
      </c>
      <c r="L23" s="87">
        <v>7</v>
      </c>
      <c r="M23" s="87">
        <v>18</v>
      </c>
      <c r="N23" s="87">
        <v>5</v>
      </c>
      <c r="O23" s="87">
        <v>5</v>
      </c>
      <c r="P23" s="88">
        <f t="shared" si="2"/>
        <v>100</v>
      </c>
    </row>
    <row r="24" spans="1:16" x14ac:dyDescent="0.25">
      <c r="A24" s="86" t="s">
        <v>1954</v>
      </c>
      <c r="B24" s="86" t="s">
        <v>1939</v>
      </c>
      <c r="C24" s="87">
        <v>1</v>
      </c>
      <c r="D24" s="87">
        <v>0</v>
      </c>
      <c r="E24" s="88">
        <f t="shared" si="7"/>
        <v>0</v>
      </c>
      <c r="F24" s="87">
        <v>1</v>
      </c>
      <c r="G24" s="88">
        <f t="shared" si="8"/>
        <v>100</v>
      </c>
      <c r="H24" s="87">
        <v>0</v>
      </c>
      <c r="I24" s="88">
        <f t="shared" si="9"/>
        <v>0</v>
      </c>
      <c r="J24" s="87">
        <v>7</v>
      </c>
      <c r="K24" s="87">
        <v>3</v>
      </c>
      <c r="L24" s="87">
        <v>7</v>
      </c>
      <c r="M24" s="87">
        <v>9</v>
      </c>
      <c r="N24" s="87">
        <v>3</v>
      </c>
      <c r="O24" s="87">
        <v>3</v>
      </c>
      <c r="P24" s="88">
        <f t="shared" si="2"/>
        <v>100</v>
      </c>
    </row>
    <row r="25" spans="1:16" x14ac:dyDescent="0.25">
      <c r="A25" s="86" t="s">
        <v>1955</v>
      </c>
      <c r="B25" s="86" t="s">
        <v>1939</v>
      </c>
      <c r="C25" s="87">
        <v>3</v>
      </c>
      <c r="D25" s="87">
        <v>0</v>
      </c>
      <c r="E25" s="88">
        <f t="shared" si="7"/>
        <v>0</v>
      </c>
      <c r="F25" s="87">
        <v>3</v>
      </c>
      <c r="G25" s="88">
        <f t="shared" si="8"/>
        <v>100</v>
      </c>
      <c r="H25" s="87">
        <v>1</v>
      </c>
      <c r="I25" s="88">
        <f t="shared" si="9"/>
        <v>33.333333333333336</v>
      </c>
      <c r="J25" s="87">
        <v>5</v>
      </c>
      <c r="K25" s="87">
        <v>3</v>
      </c>
      <c r="L25" s="87">
        <v>5</v>
      </c>
      <c r="M25" s="87">
        <v>9</v>
      </c>
      <c r="N25" s="87">
        <v>5</v>
      </c>
      <c r="O25" s="87">
        <v>4</v>
      </c>
      <c r="P25" s="88">
        <f t="shared" si="2"/>
        <v>80</v>
      </c>
    </row>
    <row r="26" spans="1:16" x14ac:dyDescent="0.25">
      <c r="A26" s="86" t="s">
        <v>1956</v>
      </c>
      <c r="B26" s="86" t="s">
        <v>1939</v>
      </c>
      <c r="C26" s="87">
        <v>3</v>
      </c>
      <c r="D26" s="87">
        <v>0</v>
      </c>
      <c r="E26" s="88">
        <f t="shared" si="7"/>
        <v>0</v>
      </c>
      <c r="F26" s="87">
        <v>3</v>
      </c>
      <c r="G26" s="88">
        <f>F26*100/C26</f>
        <v>100</v>
      </c>
      <c r="H26" s="87">
        <v>0</v>
      </c>
      <c r="I26" s="88">
        <f t="shared" si="9"/>
        <v>0</v>
      </c>
      <c r="J26" s="87">
        <v>30</v>
      </c>
      <c r="K26" s="87">
        <v>4.5</v>
      </c>
      <c r="L26" s="87">
        <v>30</v>
      </c>
      <c r="M26" s="110">
        <v>54</v>
      </c>
      <c r="N26" s="87">
        <v>11</v>
      </c>
      <c r="O26" s="87">
        <v>11</v>
      </c>
      <c r="P26" s="88">
        <f t="shared" si="2"/>
        <v>100</v>
      </c>
    </row>
    <row r="27" spans="1:16" x14ac:dyDescent="0.25">
      <c r="A27" s="86" t="s">
        <v>1957</v>
      </c>
      <c r="B27" s="86" t="s">
        <v>1939</v>
      </c>
      <c r="C27" s="87">
        <v>1</v>
      </c>
      <c r="D27" s="87">
        <v>0</v>
      </c>
      <c r="E27" s="88">
        <f t="shared" si="7"/>
        <v>0</v>
      </c>
      <c r="F27" s="87">
        <v>1</v>
      </c>
      <c r="G27" s="88">
        <f t="shared" si="8"/>
        <v>100</v>
      </c>
      <c r="H27" s="87">
        <v>0</v>
      </c>
      <c r="I27" s="88">
        <f t="shared" si="9"/>
        <v>0</v>
      </c>
      <c r="J27" s="87">
        <v>9</v>
      </c>
      <c r="K27" s="87">
        <v>1</v>
      </c>
      <c r="L27" s="87">
        <v>9</v>
      </c>
      <c r="M27" s="111"/>
      <c r="N27" s="87">
        <v>1</v>
      </c>
      <c r="O27" s="87">
        <v>1</v>
      </c>
      <c r="P27" s="88">
        <f t="shared" si="2"/>
        <v>100</v>
      </c>
    </row>
    <row r="28" spans="1:16" x14ac:dyDescent="0.25">
      <c r="A28" s="86" t="s">
        <v>1958</v>
      </c>
      <c r="B28" s="86" t="s">
        <v>1939</v>
      </c>
      <c r="C28" s="87">
        <v>0</v>
      </c>
      <c r="D28" s="87">
        <v>0</v>
      </c>
      <c r="E28" s="88"/>
      <c r="F28" s="87">
        <v>0</v>
      </c>
      <c r="G28" s="88"/>
      <c r="H28" s="87">
        <v>0</v>
      </c>
      <c r="I28" s="88"/>
      <c r="J28" s="87">
        <v>6</v>
      </c>
      <c r="K28" s="87">
        <v>1</v>
      </c>
      <c r="L28" s="87">
        <v>6</v>
      </c>
      <c r="M28" s="111"/>
      <c r="N28" s="87">
        <v>3</v>
      </c>
      <c r="O28" s="87">
        <v>3</v>
      </c>
      <c r="P28" s="88">
        <f t="shared" si="2"/>
        <v>100</v>
      </c>
    </row>
    <row r="29" spans="1:16" x14ac:dyDescent="0.25">
      <c r="A29" s="86" t="s">
        <v>1959</v>
      </c>
      <c r="B29" s="86" t="s">
        <v>1939</v>
      </c>
      <c r="C29" s="87">
        <v>1</v>
      </c>
      <c r="D29" s="87">
        <v>0</v>
      </c>
      <c r="E29" s="88">
        <f t="shared" si="7"/>
        <v>0</v>
      </c>
      <c r="F29" s="87">
        <v>1</v>
      </c>
      <c r="G29" s="88">
        <f t="shared" si="8"/>
        <v>100</v>
      </c>
      <c r="H29" s="87">
        <v>0</v>
      </c>
      <c r="I29" s="88">
        <f t="shared" si="9"/>
        <v>0</v>
      </c>
      <c r="J29" s="87">
        <v>4</v>
      </c>
      <c r="K29" s="87">
        <v>1</v>
      </c>
      <c r="L29" s="87">
        <v>4</v>
      </c>
      <c r="M29" s="111"/>
      <c r="N29" s="87">
        <v>1</v>
      </c>
      <c r="O29" s="87">
        <v>1</v>
      </c>
      <c r="P29" s="88">
        <f t="shared" si="2"/>
        <v>100</v>
      </c>
    </row>
    <row r="30" spans="1:16" x14ac:dyDescent="0.25">
      <c r="A30" s="86" t="s">
        <v>1960</v>
      </c>
      <c r="B30" s="86" t="s">
        <v>1939</v>
      </c>
      <c r="C30" s="87">
        <v>0</v>
      </c>
      <c r="D30" s="87">
        <v>0</v>
      </c>
      <c r="E30" s="88"/>
      <c r="F30" s="87">
        <v>0</v>
      </c>
      <c r="G30" s="88"/>
      <c r="H30" s="87">
        <v>0</v>
      </c>
      <c r="I30" s="88"/>
      <c r="J30" s="87">
        <v>3</v>
      </c>
      <c r="K30" s="87">
        <v>1</v>
      </c>
      <c r="L30" s="87">
        <v>3</v>
      </c>
      <c r="M30" s="111"/>
      <c r="N30" s="87">
        <v>2</v>
      </c>
      <c r="O30" s="87">
        <v>2</v>
      </c>
      <c r="P30" s="88">
        <f t="shared" si="2"/>
        <v>100</v>
      </c>
    </row>
    <row r="31" spans="1:16" x14ac:dyDescent="0.25">
      <c r="A31" s="86" t="s">
        <v>1961</v>
      </c>
      <c r="B31" s="86" t="s">
        <v>1939</v>
      </c>
      <c r="C31" s="87">
        <v>1</v>
      </c>
      <c r="D31" s="87">
        <v>0</v>
      </c>
      <c r="E31" s="88">
        <f t="shared" si="7"/>
        <v>0</v>
      </c>
      <c r="F31" s="87">
        <v>1</v>
      </c>
      <c r="G31" s="88">
        <f t="shared" si="8"/>
        <v>100</v>
      </c>
      <c r="H31" s="87">
        <v>0</v>
      </c>
      <c r="I31" s="88">
        <f t="shared" si="9"/>
        <v>0</v>
      </c>
      <c r="J31" s="87">
        <v>7</v>
      </c>
      <c r="K31" s="87">
        <v>1</v>
      </c>
      <c r="L31" s="87">
        <v>7</v>
      </c>
      <c r="M31" s="111"/>
      <c r="N31" s="87">
        <v>7</v>
      </c>
      <c r="O31" s="87">
        <v>7</v>
      </c>
      <c r="P31" s="88">
        <f t="shared" si="2"/>
        <v>100</v>
      </c>
    </row>
    <row r="32" spans="1:16" x14ac:dyDescent="0.25">
      <c r="A32" s="86" t="s">
        <v>1962</v>
      </c>
      <c r="B32" s="86" t="s">
        <v>1939</v>
      </c>
      <c r="C32" s="87">
        <v>0</v>
      </c>
      <c r="D32" s="87">
        <v>0</v>
      </c>
      <c r="E32" s="88"/>
      <c r="F32" s="87">
        <v>0</v>
      </c>
      <c r="G32" s="88"/>
      <c r="H32" s="87">
        <v>0</v>
      </c>
      <c r="I32" s="88"/>
      <c r="J32" s="87">
        <v>7</v>
      </c>
      <c r="K32" s="87">
        <v>1</v>
      </c>
      <c r="L32" s="87">
        <v>6</v>
      </c>
      <c r="M32" s="111"/>
      <c r="N32" s="87">
        <v>7</v>
      </c>
      <c r="O32" s="87">
        <v>6</v>
      </c>
      <c r="P32" s="88">
        <f>O32*100/N32</f>
        <v>85.714285714285708</v>
      </c>
    </row>
    <row r="33" spans="1:16" x14ac:dyDescent="0.25">
      <c r="A33" s="86" t="s">
        <v>1963</v>
      </c>
      <c r="B33" s="86" t="s">
        <v>1939</v>
      </c>
      <c r="C33" s="87">
        <v>7</v>
      </c>
      <c r="D33" s="87">
        <v>0</v>
      </c>
      <c r="E33" s="88">
        <f t="shared" si="7"/>
        <v>0</v>
      </c>
      <c r="F33" s="87">
        <v>7</v>
      </c>
      <c r="G33" s="88">
        <f t="shared" si="8"/>
        <v>100</v>
      </c>
      <c r="H33" s="87">
        <v>0</v>
      </c>
      <c r="I33" s="88">
        <f t="shared" si="9"/>
        <v>0</v>
      </c>
      <c r="J33" s="87">
        <v>47</v>
      </c>
      <c r="K33" s="87">
        <v>4.5</v>
      </c>
      <c r="L33" s="87">
        <v>47</v>
      </c>
      <c r="M33" s="111"/>
      <c r="N33" s="87">
        <v>1</v>
      </c>
      <c r="O33" s="87">
        <v>1</v>
      </c>
      <c r="P33" s="88">
        <f t="shared" si="2"/>
        <v>100</v>
      </c>
    </row>
    <row r="34" spans="1:16" x14ac:dyDescent="0.25">
      <c r="A34" s="86" t="s">
        <v>1964</v>
      </c>
      <c r="B34" s="86" t="s">
        <v>1939</v>
      </c>
      <c r="C34" s="87">
        <v>0</v>
      </c>
      <c r="D34" s="87">
        <v>0</v>
      </c>
      <c r="E34" s="88"/>
      <c r="F34" s="87">
        <v>0</v>
      </c>
      <c r="G34" s="88"/>
      <c r="H34" s="87">
        <v>0</v>
      </c>
      <c r="I34" s="88"/>
      <c r="J34" s="87">
        <v>14</v>
      </c>
      <c r="K34" s="87">
        <v>1</v>
      </c>
      <c r="L34" s="87">
        <v>14</v>
      </c>
      <c r="M34" s="111"/>
      <c r="N34" s="87">
        <v>7</v>
      </c>
      <c r="O34" s="87">
        <v>7</v>
      </c>
      <c r="P34" s="88">
        <f t="shared" si="2"/>
        <v>100</v>
      </c>
    </row>
    <row r="35" spans="1:16" x14ac:dyDescent="0.25">
      <c r="A35" s="86" t="s">
        <v>1965</v>
      </c>
      <c r="B35" s="86" t="s">
        <v>1939</v>
      </c>
      <c r="C35" s="87">
        <v>0</v>
      </c>
      <c r="D35" s="87">
        <v>0</v>
      </c>
      <c r="E35" s="88"/>
      <c r="F35" s="87">
        <v>0</v>
      </c>
      <c r="G35" s="88"/>
      <c r="H35" s="87">
        <v>0</v>
      </c>
      <c r="I35" s="88"/>
      <c r="J35" s="87">
        <v>16</v>
      </c>
      <c r="K35" s="87">
        <v>1</v>
      </c>
      <c r="L35" s="87">
        <v>16</v>
      </c>
      <c r="M35" s="111"/>
      <c r="N35" s="87">
        <v>16</v>
      </c>
      <c r="O35" s="87">
        <v>16</v>
      </c>
      <c r="P35" s="88">
        <f t="shared" si="2"/>
        <v>100</v>
      </c>
    </row>
    <row r="36" spans="1:16" x14ac:dyDescent="0.25">
      <c r="A36" s="86" t="s">
        <v>1966</v>
      </c>
      <c r="B36" s="86" t="s">
        <v>1939</v>
      </c>
      <c r="C36" s="87">
        <v>0</v>
      </c>
      <c r="D36" s="87">
        <v>0</v>
      </c>
      <c r="E36" s="88"/>
      <c r="F36" s="87">
        <v>0</v>
      </c>
      <c r="G36" s="88"/>
      <c r="H36" s="87">
        <v>0</v>
      </c>
      <c r="I36" s="88"/>
      <c r="J36" s="87">
        <v>2</v>
      </c>
      <c r="K36" s="87">
        <v>1</v>
      </c>
      <c r="L36" s="87">
        <v>2</v>
      </c>
      <c r="M36" s="111"/>
      <c r="N36" s="87">
        <v>2</v>
      </c>
      <c r="O36" s="87">
        <v>2</v>
      </c>
      <c r="P36" s="88">
        <f t="shared" si="2"/>
        <v>100</v>
      </c>
    </row>
    <row r="37" spans="1:16" x14ac:dyDescent="0.25">
      <c r="A37" s="86" t="s">
        <v>1967</v>
      </c>
      <c r="B37" s="86" t="s">
        <v>1939</v>
      </c>
      <c r="C37" s="87">
        <v>33</v>
      </c>
      <c r="D37" s="87">
        <v>0</v>
      </c>
      <c r="E37" s="88">
        <f t="shared" si="7"/>
        <v>0</v>
      </c>
      <c r="F37" s="87">
        <v>33</v>
      </c>
      <c r="G37" s="88">
        <f t="shared" si="8"/>
        <v>100</v>
      </c>
      <c r="H37" s="87">
        <v>2</v>
      </c>
      <c r="I37" s="88">
        <f t="shared" si="9"/>
        <v>6.0606060606060606</v>
      </c>
      <c r="J37" s="87">
        <v>58</v>
      </c>
      <c r="K37" s="87">
        <v>13.5</v>
      </c>
      <c r="L37" s="87">
        <v>51</v>
      </c>
      <c r="M37" s="87">
        <v>117</v>
      </c>
      <c r="N37" s="87">
        <v>5</v>
      </c>
      <c r="O37" s="87">
        <v>3</v>
      </c>
      <c r="P37" s="88">
        <f t="shared" si="2"/>
        <v>60</v>
      </c>
    </row>
    <row r="38" spans="1:16" x14ac:dyDescent="0.2">
      <c r="A38" s="89" t="s">
        <v>1968</v>
      </c>
      <c r="B38" s="86" t="s">
        <v>1939</v>
      </c>
      <c r="C38" s="87">
        <v>16</v>
      </c>
      <c r="D38" s="87">
        <v>0</v>
      </c>
      <c r="E38" s="88">
        <f t="shared" si="7"/>
        <v>0</v>
      </c>
      <c r="F38" s="87">
        <v>16</v>
      </c>
      <c r="G38" s="88">
        <f t="shared" si="8"/>
        <v>100</v>
      </c>
      <c r="H38" s="87">
        <v>0</v>
      </c>
      <c r="I38" s="88">
        <f t="shared" si="9"/>
        <v>0</v>
      </c>
      <c r="J38" s="87">
        <v>24</v>
      </c>
      <c r="K38" s="87">
        <v>6</v>
      </c>
      <c r="L38" s="87">
        <v>24</v>
      </c>
      <c r="M38" s="87">
        <v>9</v>
      </c>
      <c r="N38" s="87">
        <v>2</v>
      </c>
      <c r="O38" s="87">
        <v>2</v>
      </c>
      <c r="P38" s="88">
        <f t="shared" si="2"/>
        <v>100</v>
      </c>
    </row>
    <row r="39" spans="1:16" ht="25.5" x14ac:dyDescent="0.2">
      <c r="A39" s="90" t="s">
        <v>1969</v>
      </c>
      <c r="B39" s="86" t="s">
        <v>1939</v>
      </c>
      <c r="C39" s="87">
        <v>30</v>
      </c>
      <c r="D39" s="87">
        <v>0</v>
      </c>
      <c r="E39" s="88">
        <f t="shared" si="7"/>
        <v>0</v>
      </c>
      <c r="F39" s="87">
        <v>30</v>
      </c>
      <c r="G39" s="88">
        <f t="shared" si="8"/>
        <v>100</v>
      </c>
      <c r="H39" s="87">
        <v>0</v>
      </c>
      <c r="I39" s="88">
        <f t="shared" si="9"/>
        <v>0</v>
      </c>
      <c r="J39" s="87">
        <v>515</v>
      </c>
      <c r="K39" s="87">
        <v>27</v>
      </c>
      <c r="L39" s="87">
        <v>513</v>
      </c>
      <c r="M39" s="87">
        <v>135</v>
      </c>
      <c r="N39" s="87">
        <v>8</v>
      </c>
      <c r="O39" s="87">
        <v>8</v>
      </c>
      <c r="P39" s="88">
        <f t="shared" si="2"/>
        <v>100</v>
      </c>
    </row>
    <row r="40" spans="1:16" ht="25.5" x14ac:dyDescent="0.2">
      <c r="A40" s="90" t="s">
        <v>1970</v>
      </c>
      <c r="B40" s="86" t="s">
        <v>1939</v>
      </c>
      <c r="C40" s="87">
        <v>113</v>
      </c>
      <c r="D40" s="87">
        <v>0</v>
      </c>
      <c r="E40" s="88">
        <f t="shared" si="7"/>
        <v>0</v>
      </c>
      <c r="F40" s="87">
        <v>113</v>
      </c>
      <c r="G40" s="88">
        <f t="shared" si="8"/>
        <v>100</v>
      </c>
      <c r="H40" s="87">
        <v>2</v>
      </c>
      <c r="I40" s="88">
        <f t="shared" si="9"/>
        <v>1.7699115044247788</v>
      </c>
      <c r="J40" s="87">
        <v>113</v>
      </c>
      <c r="K40" s="87">
        <v>18</v>
      </c>
      <c r="L40" s="87">
        <v>105</v>
      </c>
      <c r="M40" s="87">
        <v>72</v>
      </c>
      <c r="N40" s="87">
        <v>10</v>
      </c>
      <c r="O40" s="87">
        <v>10</v>
      </c>
      <c r="P40" s="88">
        <f t="shared" si="2"/>
        <v>100</v>
      </c>
    </row>
    <row r="41" spans="1:16" ht="25.5" x14ac:dyDescent="0.2">
      <c r="A41" s="90" t="s">
        <v>1971</v>
      </c>
      <c r="B41" s="86" t="s">
        <v>1939</v>
      </c>
      <c r="C41" s="87">
        <v>21</v>
      </c>
      <c r="D41" s="87">
        <v>0</v>
      </c>
      <c r="E41" s="88">
        <f t="shared" si="7"/>
        <v>0</v>
      </c>
      <c r="F41" s="87">
        <v>21</v>
      </c>
      <c r="G41" s="88">
        <f t="shared" si="8"/>
        <v>100</v>
      </c>
      <c r="H41" s="87">
        <v>0</v>
      </c>
      <c r="I41" s="88">
        <f t="shared" si="9"/>
        <v>0</v>
      </c>
      <c r="J41" s="87">
        <v>34</v>
      </c>
      <c r="K41" s="87">
        <v>1</v>
      </c>
      <c r="L41" s="87">
        <v>30</v>
      </c>
      <c r="M41" s="87">
        <v>63</v>
      </c>
      <c r="N41" s="87">
        <v>2</v>
      </c>
      <c r="O41" s="87">
        <v>2</v>
      </c>
      <c r="P41" s="88">
        <f t="shared" si="2"/>
        <v>100</v>
      </c>
    </row>
    <row r="42" spans="1:16" ht="25.5" x14ac:dyDescent="0.2">
      <c r="A42" s="90" t="s">
        <v>1972</v>
      </c>
      <c r="B42" s="86" t="s">
        <v>1939</v>
      </c>
      <c r="C42" s="87">
        <v>30</v>
      </c>
      <c r="D42" s="87">
        <v>0</v>
      </c>
      <c r="E42" s="88">
        <f t="shared" si="7"/>
        <v>0</v>
      </c>
      <c r="F42" s="87">
        <v>30</v>
      </c>
      <c r="G42" s="88">
        <f t="shared" si="8"/>
        <v>100</v>
      </c>
      <c r="H42" s="87">
        <v>0</v>
      </c>
      <c r="I42" s="88">
        <f t="shared" si="9"/>
        <v>0</v>
      </c>
      <c r="J42" s="87">
        <v>90</v>
      </c>
      <c r="K42" s="87">
        <v>18</v>
      </c>
      <c r="L42" s="87">
        <v>81</v>
      </c>
      <c r="M42" s="87">
        <v>45</v>
      </c>
      <c r="N42" s="87">
        <v>18</v>
      </c>
      <c r="O42" s="87">
        <v>18</v>
      </c>
      <c r="P42" s="88">
        <f t="shared" si="2"/>
        <v>100</v>
      </c>
    </row>
    <row r="43" spans="1:16" x14ac:dyDescent="0.2">
      <c r="A43" s="90" t="s">
        <v>1973</v>
      </c>
      <c r="B43" s="86" t="s">
        <v>1939</v>
      </c>
      <c r="C43" s="87">
        <v>17</v>
      </c>
      <c r="D43" s="87">
        <v>0</v>
      </c>
      <c r="E43" s="88">
        <f t="shared" si="7"/>
        <v>0</v>
      </c>
      <c r="F43" s="87">
        <v>17</v>
      </c>
      <c r="G43" s="88">
        <f t="shared" si="8"/>
        <v>100</v>
      </c>
      <c r="H43" s="87">
        <v>0</v>
      </c>
      <c r="I43" s="88">
        <f t="shared" si="9"/>
        <v>0</v>
      </c>
      <c r="J43" s="87">
        <v>35</v>
      </c>
      <c r="K43" s="87">
        <v>9</v>
      </c>
      <c r="L43" s="87">
        <v>35</v>
      </c>
      <c r="M43" s="87">
        <v>24</v>
      </c>
      <c r="N43" s="87">
        <v>2</v>
      </c>
      <c r="O43" s="87">
        <v>2</v>
      </c>
      <c r="P43" s="88">
        <f t="shared" si="2"/>
        <v>100</v>
      </c>
    </row>
    <row r="44" spans="1:16" x14ac:dyDescent="0.2">
      <c r="A44" s="90" t="s">
        <v>1974</v>
      </c>
      <c r="B44" s="86" t="s">
        <v>1939</v>
      </c>
      <c r="C44" s="87">
        <v>16</v>
      </c>
      <c r="D44" s="87"/>
      <c r="E44" s="88">
        <f t="shared" si="7"/>
        <v>0</v>
      </c>
      <c r="F44" s="87">
        <v>16</v>
      </c>
      <c r="G44" s="88">
        <f t="shared" si="8"/>
        <v>100</v>
      </c>
      <c r="H44" s="87">
        <v>0</v>
      </c>
      <c r="I44" s="88">
        <f t="shared" si="9"/>
        <v>0</v>
      </c>
      <c r="J44" s="87">
        <v>39</v>
      </c>
      <c r="K44" s="87">
        <v>15</v>
      </c>
      <c r="L44" s="87">
        <v>36</v>
      </c>
      <c r="M44" s="87">
        <v>21</v>
      </c>
      <c r="N44" s="87">
        <v>8</v>
      </c>
      <c r="O44" s="87">
        <v>8</v>
      </c>
      <c r="P44" s="88">
        <f t="shared" si="2"/>
        <v>100</v>
      </c>
    </row>
    <row r="45" spans="1:16" x14ac:dyDescent="0.2">
      <c r="A45" s="90" t="s">
        <v>1975</v>
      </c>
      <c r="B45" s="86" t="s">
        <v>1939</v>
      </c>
      <c r="C45" s="87">
        <v>4</v>
      </c>
      <c r="D45" s="87">
        <v>0</v>
      </c>
      <c r="E45" s="88">
        <f t="shared" si="7"/>
        <v>0</v>
      </c>
      <c r="F45" s="87">
        <v>4</v>
      </c>
      <c r="G45" s="88">
        <f t="shared" si="8"/>
        <v>100</v>
      </c>
      <c r="H45" s="87">
        <v>1</v>
      </c>
      <c r="I45" s="88">
        <f t="shared" si="9"/>
        <v>25</v>
      </c>
      <c r="J45" s="87">
        <v>15</v>
      </c>
      <c r="K45" s="87">
        <v>8</v>
      </c>
      <c r="L45" s="87">
        <v>12</v>
      </c>
      <c r="M45" s="87">
        <v>15</v>
      </c>
      <c r="N45" s="87">
        <v>4</v>
      </c>
      <c r="O45" s="87">
        <v>4</v>
      </c>
      <c r="P45" s="88">
        <f t="shared" si="2"/>
        <v>100</v>
      </c>
    </row>
    <row r="46" spans="1:16" x14ac:dyDescent="0.2">
      <c r="A46" s="90" t="s">
        <v>1976</v>
      </c>
      <c r="B46" s="86" t="s">
        <v>1939</v>
      </c>
      <c r="C46" s="87">
        <v>8</v>
      </c>
      <c r="D46" s="87">
        <v>0</v>
      </c>
      <c r="E46" s="88">
        <f t="shared" si="7"/>
        <v>0</v>
      </c>
      <c r="F46" s="87">
        <v>8</v>
      </c>
      <c r="G46" s="88">
        <f t="shared" si="8"/>
        <v>100</v>
      </c>
      <c r="H46" s="87">
        <v>0</v>
      </c>
      <c r="I46" s="88">
        <f t="shared" si="9"/>
        <v>0</v>
      </c>
      <c r="J46" s="87">
        <v>40</v>
      </c>
      <c r="K46" s="87">
        <v>40</v>
      </c>
      <c r="L46" s="87">
        <v>20</v>
      </c>
      <c r="M46" s="87">
        <v>20</v>
      </c>
      <c r="N46" s="87">
        <v>3</v>
      </c>
      <c r="O46" s="87">
        <v>3</v>
      </c>
      <c r="P46" s="88">
        <f t="shared" si="2"/>
        <v>100</v>
      </c>
    </row>
    <row r="47" spans="1:16" ht="25.5" x14ac:dyDescent="0.2">
      <c r="A47" s="90" t="s">
        <v>1977</v>
      </c>
      <c r="B47" s="86" t="s">
        <v>1939</v>
      </c>
      <c r="C47" s="87">
        <v>54</v>
      </c>
      <c r="D47" s="87">
        <v>0</v>
      </c>
      <c r="E47" s="88">
        <f t="shared" si="7"/>
        <v>0</v>
      </c>
      <c r="F47" s="87">
        <v>54</v>
      </c>
      <c r="G47" s="88">
        <f t="shared" si="8"/>
        <v>100</v>
      </c>
      <c r="H47" s="87">
        <v>0</v>
      </c>
      <c r="I47" s="88">
        <f t="shared" si="9"/>
        <v>0</v>
      </c>
      <c r="J47" s="87">
        <v>116</v>
      </c>
      <c r="K47" s="87">
        <v>27</v>
      </c>
      <c r="L47" s="87">
        <v>112</v>
      </c>
      <c r="M47" s="87">
        <v>99</v>
      </c>
      <c r="N47" s="87">
        <v>5</v>
      </c>
      <c r="O47" s="87">
        <v>5</v>
      </c>
      <c r="P47" s="88">
        <f t="shared" si="2"/>
        <v>100</v>
      </c>
    </row>
    <row r="48" spans="1:16" x14ac:dyDescent="0.2">
      <c r="A48" s="90" t="s">
        <v>1978</v>
      </c>
      <c r="B48" s="86" t="s">
        <v>1939</v>
      </c>
      <c r="C48" s="87">
        <v>13</v>
      </c>
      <c r="D48" s="87">
        <v>0</v>
      </c>
      <c r="E48" s="88">
        <f t="shared" si="7"/>
        <v>0</v>
      </c>
      <c r="F48" s="87">
        <v>13</v>
      </c>
      <c r="G48" s="88">
        <f t="shared" si="8"/>
        <v>100</v>
      </c>
      <c r="H48" s="87">
        <v>0</v>
      </c>
      <c r="I48" s="88">
        <f t="shared" si="9"/>
        <v>0</v>
      </c>
      <c r="J48" s="87">
        <v>23</v>
      </c>
      <c r="K48" s="87">
        <v>9</v>
      </c>
      <c r="L48" s="87">
        <v>23</v>
      </c>
      <c r="M48" s="87">
        <v>54</v>
      </c>
      <c r="N48" s="87">
        <v>2</v>
      </c>
      <c r="O48" s="87">
        <v>2</v>
      </c>
      <c r="P48" s="88">
        <f t="shared" si="2"/>
        <v>100</v>
      </c>
    </row>
    <row r="49" spans="1:17" x14ac:dyDescent="0.2">
      <c r="A49" s="90" t="s">
        <v>1979</v>
      </c>
      <c r="B49" s="86" t="s">
        <v>1939</v>
      </c>
      <c r="C49" s="87">
        <v>1</v>
      </c>
      <c r="D49" s="87">
        <v>0</v>
      </c>
      <c r="E49" s="88">
        <f t="shared" si="7"/>
        <v>0</v>
      </c>
      <c r="F49" s="87">
        <v>1</v>
      </c>
      <c r="G49" s="88">
        <f t="shared" si="8"/>
        <v>100</v>
      </c>
      <c r="H49" s="87">
        <v>0</v>
      </c>
      <c r="I49" s="88">
        <f t="shared" si="9"/>
        <v>0</v>
      </c>
      <c r="J49" s="87">
        <v>11</v>
      </c>
      <c r="K49" s="87">
        <v>9</v>
      </c>
      <c r="L49" s="87">
        <v>11</v>
      </c>
      <c r="M49" s="87">
        <v>9</v>
      </c>
      <c r="N49" s="87">
        <v>1</v>
      </c>
      <c r="O49" s="87">
        <v>1</v>
      </c>
      <c r="P49" s="88">
        <f t="shared" si="2"/>
        <v>100</v>
      </c>
    </row>
    <row r="50" spans="1:17" ht="51" x14ac:dyDescent="0.2">
      <c r="A50" s="90" t="s">
        <v>1980</v>
      </c>
      <c r="B50" s="86" t="s">
        <v>1939</v>
      </c>
      <c r="C50" s="87">
        <v>5</v>
      </c>
      <c r="D50" s="87">
        <v>0</v>
      </c>
      <c r="E50" s="88">
        <f t="shared" si="7"/>
        <v>0</v>
      </c>
      <c r="F50" s="87">
        <v>5</v>
      </c>
      <c r="G50" s="88">
        <f t="shared" si="8"/>
        <v>100</v>
      </c>
      <c r="H50" s="87">
        <v>0</v>
      </c>
      <c r="I50" s="88">
        <f t="shared" si="9"/>
        <v>0</v>
      </c>
      <c r="J50" s="87">
        <v>17</v>
      </c>
      <c r="K50" s="87">
        <v>5</v>
      </c>
      <c r="L50" s="87">
        <v>17</v>
      </c>
      <c r="M50" s="87">
        <v>16</v>
      </c>
      <c r="N50" s="87">
        <v>1</v>
      </c>
      <c r="O50" s="87">
        <v>1</v>
      </c>
      <c r="P50" s="88">
        <f t="shared" si="2"/>
        <v>100</v>
      </c>
    </row>
    <row r="51" spans="1:17" ht="25.5" x14ac:dyDescent="0.2">
      <c r="A51" s="90" t="s">
        <v>1981</v>
      </c>
      <c r="B51" s="86" t="s">
        <v>1939</v>
      </c>
      <c r="C51" s="87">
        <v>9</v>
      </c>
      <c r="D51" s="87">
        <v>0</v>
      </c>
      <c r="E51" s="88">
        <f t="shared" si="7"/>
        <v>0</v>
      </c>
      <c r="F51" s="87">
        <v>9</v>
      </c>
      <c r="G51" s="88">
        <f t="shared" si="8"/>
        <v>100</v>
      </c>
      <c r="H51" s="87">
        <v>0</v>
      </c>
      <c r="I51" s="88">
        <f t="shared" si="9"/>
        <v>0</v>
      </c>
      <c r="J51" s="87">
        <v>45</v>
      </c>
      <c r="K51" s="87">
        <v>15</v>
      </c>
      <c r="L51" s="87">
        <v>45</v>
      </c>
      <c r="M51" s="87">
        <v>21</v>
      </c>
      <c r="N51" s="87">
        <v>3</v>
      </c>
      <c r="O51" s="87">
        <v>3</v>
      </c>
      <c r="P51" s="88">
        <f t="shared" si="2"/>
        <v>100</v>
      </c>
    </row>
    <row r="52" spans="1:17" ht="26.25" thickBot="1" x14ac:dyDescent="0.25">
      <c r="A52" s="90" t="s">
        <v>1982</v>
      </c>
      <c r="B52" s="86" t="s">
        <v>1939</v>
      </c>
      <c r="C52" s="87">
        <v>55</v>
      </c>
      <c r="D52" s="87">
        <v>0</v>
      </c>
      <c r="E52" s="88">
        <f t="shared" si="7"/>
        <v>0</v>
      </c>
      <c r="F52" s="87">
        <v>55</v>
      </c>
      <c r="G52" s="88">
        <f>F52*100/C52</f>
        <v>100</v>
      </c>
      <c r="H52" s="87">
        <v>0</v>
      </c>
      <c r="I52" s="88">
        <f t="shared" si="9"/>
        <v>0</v>
      </c>
      <c r="J52" s="87">
        <v>80</v>
      </c>
      <c r="K52" s="87">
        <v>18</v>
      </c>
      <c r="L52" s="87">
        <v>79</v>
      </c>
      <c r="M52" s="87">
        <v>108</v>
      </c>
      <c r="N52" s="87">
        <v>2</v>
      </c>
      <c r="O52" s="87">
        <v>2</v>
      </c>
      <c r="P52" s="88">
        <f t="shared" si="2"/>
        <v>100</v>
      </c>
    </row>
    <row r="53" spans="1:17" ht="26.25" thickBot="1" x14ac:dyDescent="0.3">
      <c r="A53" s="95" t="s">
        <v>1987</v>
      </c>
      <c r="B53" s="95" t="s">
        <v>13</v>
      </c>
      <c r="C53" s="96">
        <v>13</v>
      </c>
      <c r="D53" s="96">
        <v>0</v>
      </c>
      <c r="E53" s="97">
        <f t="shared" ref="E53:E63" si="10">D53*100/(D53+C53)</f>
        <v>0</v>
      </c>
      <c r="F53" s="96"/>
      <c r="G53" s="100">
        <f>F53*100/C53</f>
        <v>0</v>
      </c>
      <c r="H53" s="96"/>
      <c r="I53" s="96">
        <f>H53*100/C53</f>
        <v>0</v>
      </c>
      <c r="J53" s="96">
        <v>54</v>
      </c>
      <c r="K53" s="96">
        <v>9</v>
      </c>
      <c r="L53" s="96">
        <v>54</v>
      </c>
      <c r="M53" s="96">
        <v>126</v>
      </c>
      <c r="N53" s="96">
        <v>6</v>
      </c>
      <c r="O53" s="96">
        <v>6</v>
      </c>
      <c r="P53" s="3">
        <f>O53*100/N53</f>
        <v>100</v>
      </c>
      <c r="Q53" s="96">
        <f>7</f>
        <v>7</v>
      </c>
    </row>
    <row r="54" spans="1:17" ht="26.25" thickBot="1" x14ac:dyDescent="0.3">
      <c r="A54" s="95" t="s">
        <v>1988</v>
      </c>
      <c r="B54" s="95" t="s">
        <v>13</v>
      </c>
      <c r="C54" s="96">
        <v>34</v>
      </c>
      <c r="D54" s="96">
        <v>1</v>
      </c>
      <c r="E54" s="97">
        <f t="shared" si="10"/>
        <v>2.8571428571428572</v>
      </c>
      <c r="F54" s="96"/>
      <c r="G54" s="100">
        <f t="shared" ref="G54:G63" si="11">F54*100/C54</f>
        <v>0</v>
      </c>
      <c r="H54" s="96"/>
      <c r="I54" s="96">
        <f t="shared" ref="I54:I60" si="12">H54*100/C54</f>
        <v>0</v>
      </c>
      <c r="J54" s="96">
        <v>28</v>
      </c>
      <c r="K54" s="96">
        <v>4</v>
      </c>
      <c r="L54" s="96">
        <v>28</v>
      </c>
      <c r="M54" s="96">
        <v>58</v>
      </c>
      <c r="N54" s="96">
        <v>3</v>
      </c>
      <c r="O54" s="96">
        <v>3</v>
      </c>
      <c r="P54" s="3">
        <f t="shared" ref="P54:P63" si="13">O54*100/N54</f>
        <v>100</v>
      </c>
      <c r="Q54" s="96">
        <v>5</v>
      </c>
    </row>
    <row r="55" spans="1:17" ht="26.25" thickBot="1" x14ac:dyDescent="0.3">
      <c r="A55" s="95" t="s">
        <v>1989</v>
      </c>
      <c r="B55" s="95" t="s">
        <v>13</v>
      </c>
      <c r="C55" s="96">
        <v>30</v>
      </c>
      <c r="D55" s="96">
        <v>1</v>
      </c>
      <c r="E55" s="97">
        <f t="shared" si="10"/>
        <v>3.225806451612903</v>
      </c>
      <c r="F55" s="96"/>
      <c r="G55" s="100">
        <f t="shared" si="11"/>
        <v>0</v>
      </c>
      <c r="H55" s="96"/>
      <c r="I55" s="96">
        <f t="shared" si="12"/>
        <v>0</v>
      </c>
      <c r="J55" s="96">
        <v>51</v>
      </c>
      <c r="K55" s="96">
        <v>4</v>
      </c>
      <c r="L55" s="96">
        <v>51</v>
      </c>
      <c r="M55" s="96">
        <v>75</v>
      </c>
      <c r="N55" s="96">
        <v>10</v>
      </c>
      <c r="O55" s="96">
        <v>10</v>
      </c>
      <c r="P55" s="3">
        <f t="shared" si="13"/>
        <v>100</v>
      </c>
      <c r="Q55" s="96">
        <v>13</v>
      </c>
    </row>
    <row r="56" spans="1:17" ht="26.25" thickBot="1" x14ac:dyDescent="0.25">
      <c r="A56" s="98" t="s">
        <v>1990</v>
      </c>
      <c r="B56" s="95" t="s">
        <v>13</v>
      </c>
      <c r="C56" s="96">
        <v>34</v>
      </c>
      <c r="D56" s="96"/>
      <c r="E56" s="96">
        <f t="shared" si="10"/>
        <v>0</v>
      </c>
      <c r="F56" s="96"/>
      <c r="G56" s="100">
        <f t="shared" si="11"/>
        <v>0</v>
      </c>
      <c r="H56" s="96"/>
      <c r="I56" s="96">
        <f t="shared" si="12"/>
        <v>0</v>
      </c>
      <c r="J56" s="96">
        <v>40</v>
      </c>
      <c r="K56" s="96">
        <v>10</v>
      </c>
      <c r="L56" s="96">
        <v>40</v>
      </c>
      <c r="M56" s="96"/>
      <c r="N56" s="96"/>
      <c r="O56" s="96"/>
      <c r="P56" s="3"/>
      <c r="Q56" s="96">
        <v>9</v>
      </c>
    </row>
    <row r="57" spans="1:17" ht="15.75" thickBot="1" x14ac:dyDescent="0.25">
      <c r="A57" s="98" t="s">
        <v>1991</v>
      </c>
      <c r="B57" s="95" t="s">
        <v>13</v>
      </c>
      <c r="C57" s="96">
        <v>4</v>
      </c>
      <c r="D57" s="96"/>
      <c r="E57" s="96">
        <f t="shared" si="10"/>
        <v>0</v>
      </c>
      <c r="F57" s="96"/>
      <c r="G57" s="100">
        <f t="shared" si="11"/>
        <v>0</v>
      </c>
      <c r="H57" s="96"/>
      <c r="I57" s="96">
        <f t="shared" si="12"/>
        <v>0</v>
      </c>
      <c r="J57" s="96">
        <v>8</v>
      </c>
      <c r="K57" s="96">
        <v>2</v>
      </c>
      <c r="L57" s="96">
        <v>8</v>
      </c>
      <c r="M57" s="96"/>
      <c r="N57" s="96"/>
      <c r="O57" s="96"/>
      <c r="P57" s="3"/>
      <c r="Q57" s="96">
        <v>3</v>
      </c>
    </row>
    <row r="58" spans="1:17" ht="26.25" thickBot="1" x14ac:dyDescent="0.3">
      <c r="A58" s="99" t="s">
        <v>1992</v>
      </c>
      <c r="B58" s="95" t="s">
        <v>13</v>
      </c>
      <c r="C58" s="96">
        <v>3</v>
      </c>
      <c r="D58" s="96">
        <v>0</v>
      </c>
      <c r="E58" s="96">
        <f t="shared" si="10"/>
        <v>0</v>
      </c>
      <c r="F58" s="96"/>
      <c r="G58" s="100">
        <f t="shared" si="11"/>
        <v>0</v>
      </c>
      <c r="H58" s="96"/>
      <c r="I58" s="96">
        <f t="shared" si="12"/>
        <v>0</v>
      </c>
      <c r="J58" s="96">
        <v>5</v>
      </c>
      <c r="K58" s="96">
        <v>1</v>
      </c>
      <c r="L58" s="96">
        <v>5</v>
      </c>
      <c r="M58" s="96">
        <v>9</v>
      </c>
      <c r="N58" s="96">
        <v>2</v>
      </c>
      <c r="O58" s="96">
        <v>2</v>
      </c>
      <c r="P58" s="3">
        <f t="shared" si="13"/>
        <v>100</v>
      </c>
      <c r="Q58" s="96">
        <v>1</v>
      </c>
    </row>
    <row r="59" spans="1:17" ht="15.75" thickBot="1" x14ac:dyDescent="0.3">
      <c r="A59" s="99" t="s">
        <v>1993</v>
      </c>
      <c r="B59" s="95" t="s">
        <v>13</v>
      </c>
      <c r="C59" s="96">
        <v>22</v>
      </c>
      <c r="D59" s="96">
        <v>3</v>
      </c>
      <c r="E59" s="96">
        <f t="shared" si="10"/>
        <v>12</v>
      </c>
      <c r="F59" s="96"/>
      <c r="G59" s="100">
        <f t="shared" si="11"/>
        <v>0</v>
      </c>
      <c r="H59" s="96"/>
      <c r="I59" s="96">
        <f t="shared" si="12"/>
        <v>0</v>
      </c>
      <c r="J59" s="96">
        <v>57</v>
      </c>
      <c r="K59" s="96">
        <v>9</v>
      </c>
      <c r="L59" s="96">
        <v>57</v>
      </c>
      <c r="M59" s="96">
        <v>93</v>
      </c>
      <c r="N59" s="96">
        <v>5</v>
      </c>
      <c r="O59" s="96">
        <v>5</v>
      </c>
      <c r="P59" s="3">
        <f t="shared" si="13"/>
        <v>100</v>
      </c>
      <c r="Q59" s="96">
        <v>7</v>
      </c>
    </row>
    <row r="60" spans="1:17" ht="15.75" thickBot="1" x14ac:dyDescent="0.3">
      <c r="A60" s="99" t="s">
        <v>1994</v>
      </c>
      <c r="B60" s="95" t="s">
        <v>13</v>
      </c>
      <c r="C60" s="96">
        <v>9</v>
      </c>
      <c r="D60" s="96">
        <v>1</v>
      </c>
      <c r="E60" s="96">
        <f t="shared" si="10"/>
        <v>10</v>
      </c>
      <c r="F60" s="96"/>
      <c r="G60" s="100">
        <f t="shared" si="11"/>
        <v>0</v>
      </c>
      <c r="H60" s="96"/>
      <c r="I60" s="96">
        <f t="shared" si="12"/>
        <v>0</v>
      </c>
      <c r="J60" s="96">
        <v>26</v>
      </c>
      <c r="K60" s="96">
        <v>9</v>
      </c>
      <c r="L60" s="96">
        <v>26</v>
      </c>
      <c r="M60" s="96">
        <v>27</v>
      </c>
      <c r="N60" s="96">
        <v>10</v>
      </c>
      <c r="O60" s="96">
        <v>10</v>
      </c>
      <c r="P60" s="3">
        <f t="shared" si="13"/>
        <v>100</v>
      </c>
      <c r="Q60" s="96"/>
    </row>
    <row r="61" spans="1:17" ht="26.25" thickBot="1" x14ac:dyDescent="0.3">
      <c r="A61" s="99" t="s">
        <v>1995</v>
      </c>
      <c r="B61" s="95" t="s">
        <v>13</v>
      </c>
      <c r="C61" s="96">
        <v>3</v>
      </c>
      <c r="D61" s="96">
        <v>0</v>
      </c>
      <c r="E61" s="96">
        <f t="shared" si="10"/>
        <v>0</v>
      </c>
      <c r="F61" s="96"/>
      <c r="G61" s="96">
        <f>F61*100/C61</f>
        <v>0</v>
      </c>
      <c r="H61" s="96"/>
      <c r="I61" s="96">
        <f>H61*100/C61</f>
        <v>0</v>
      </c>
      <c r="J61" s="96">
        <v>15</v>
      </c>
      <c r="K61" s="96">
        <v>3</v>
      </c>
      <c r="L61" s="96">
        <v>15</v>
      </c>
      <c r="M61" s="96">
        <v>40.5</v>
      </c>
      <c r="N61" s="96">
        <v>1</v>
      </c>
      <c r="O61" s="96">
        <v>1</v>
      </c>
      <c r="P61" s="3">
        <f t="shared" si="13"/>
        <v>100</v>
      </c>
      <c r="Q61" s="96"/>
    </row>
    <row r="62" spans="1:17" ht="39" thickBot="1" x14ac:dyDescent="0.3">
      <c r="A62" s="99" t="s">
        <v>1996</v>
      </c>
      <c r="B62" s="95" t="s">
        <v>13</v>
      </c>
      <c r="C62" s="96">
        <v>31</v>
      </c>
      <c r="D62" s="96">
        <v>12</v>
      </c>
      <c r="E62" s="97">
        <f t="shared" si="10"/>
        <v>27.906976744186046</v>
      </c>
      <c r="F62" s="96"/>
      <c r="G62" s="100">
        <f t="shared" si="11"/>
        <v>0</v>
      </c>
      <c r="H62" s="96"/>
      <c r="I62" s="96">
        <f t="shared" ref="I62:I63" si="14">H62*100/C62</f>
        <v>0</v>
      </c>
      <c r="J62" s="96">
        <v>17</v>
      </c>
      <c r="K62" s="96">
        <v>4</v>
      </c>
      <c r="L62" s="96">
        <v>17</v>
      </c>
      <c r="M62" s="96">
        <v>72</v>
      </c>
      <c r="N62" s="96">
        <v>4</v>
      </c>
      <c r="O62" s="96">
        <v>3</v>
      </c>
      <c r="P62" s="3">
        <f t="shared" si="13"/>
        <v>75</v>
      </c>
      <c r="Q62" s="96"/>
    </row>
    <row r="63" spans="1:17" ht="26.25" thickBot="1" x14ac:dyDescent="0.3">
      <c r="A63" s="99" t="s">
        <v>1997</v>
      </c>
      <c r="B63" s="95" t="s">
        <v>13</v>
      </c>
      <c r="C63" s="96">
        <v>368</v>
      </c>
      <c r="D63" s="96"/>
      <c r="E63" s="97">
        <f t="shared" si="10"/>
        <v>0</v>
      </c>
      <c r="F63" s="96"/>
      <c r="G63" s="100">
        <f t="shared" si="11"/>
        <v>0</v>
      </c>
      <c r="H63" s="96"/>
      <c r="I63" s="96">
        <f t="shared" si="14"/>
        <v>0</v>
      </c>
      <c r="J63" s="96">
        <v>1940</v>
      </c>
      <c r="K63" s="96">
        <v>20</v>
      </c>
      <c r="L63" s="96">
        <v>1940</v>
      </c>
      <c r="M63" s="96">
        <v>151</v>
      </c>
      <c r="N63" s="96">
        <v>42</v>
      </c>
      <c r="O63" s="96">
        <v>42</v>
      </c>
      <c r="P63" s="3">
        <f t="shared" si="13"/>
        <v>100</v>
      </c>
      <c r="Q63" s="96"/>
    </row>
    <row r="64" spans="1:17" x14ac:dyDescent="0.25">
      <c r="A64" s="91" t="s">
        <v>1983</v>
      </c>
      <c r="B64" s="91" t="s">
        <v>1984</v>
      </c>
      <c r="C64" s="92">
        <v>319</v>
      </c>
      <c r="D64" s="92">
        <v>31</v>
      </c>
      <c r="E64" s="93">
        <f>D64*100/(D64+C64)</f>
        <v>8.8571428571428577</v>
      </c>
      <c r="F64" s="92">
        <v>18</v>
      </c>
      <c r="G64" s="93">
        <f>F64*100/C64</f>
        <v>5.6426332288401255</v>
      </c>
      <c r="H64" s="92">
        <v>5</v>
      </c>
      <c r="I64" s="93">
        <f>H64*100/C64</f>
        <v>1.567398119122257</v>
      </c>
      <c r="J64" s="92">
        <v>1415</v>
      </c>
      <c r="K64" s="92">
        <v>230.5</v>
      </c>
      <c r="L64" s="92">
        <v>1381</v>
      </c>
      <c r="M64" s="92">
        <v>501.5</v>
      </c>
      <c r="N64" s="92">
        <v>28</v>
      </c>
      <c r="O64" s="92">
        <v>28</v>
      </c>
      <c r="P64" s="93">
        <f>O64*100/N64</f>
        <v>100</v>
      </c>
    </row>
    <row r="65" spans="1:17" x14ac:dyDescent="0.25">
      <c r="A65" s="91" t="s">
        <v>1985</v>
      </c>
      <c r="B65" s="91" t="s">
        <v>1984</v>
      </c>
      <c r="C65" s="92">
        <v>145</v>
      </c>
      <c r="D65" s="92">
        <v>10</v>
      </c>
      <c r="E65" s="93">
        <f>D65*100/(D65+C65)</f>
        <v>6.4516129032258061</v>
      </c>
      <c r="F65" s="92">
        <v>4</v>
      </c>
      <c r="G65" s="93">
        <f>F65*100/C65</f>
        <v>2.7586206896551726</v>
      </c>
      <c r="H65" s="92">
        <v>27</v>
      </c>
      <c r="I65" s="93">
        <f>H65*100/C65</f>
        <v>18.620689655172413</v>
      </c>
      <c r="J65" s="92">
        <v>899</v>
      </c>
      <c r="K65" s="92">
        <v>192</v>
      </c>
      <c r="L65" s="92">
        <v>798</v>
      </c>
      <c r="M65" s="92">
        <v>320.5</v>
      </c>
      <c r="N65" s="92">
        <v>36</v>
      </c>
      <c r="O65" s="92">
        <v>36</v>
      </c>
      <c r="P65" s="93">
        <f>O65*100/N65</f>
        <v>100</v>
      </c>
    </row>
    <row r="66" spans="1:17" x14ac:dyDescent="0.25">
      <c r="A66" s="91" t="s">
        <v>1986</v>
      </c>
      <c r="B66" s="91" t="s">
        <v>1984</v>
      </c>
      <c r="C66" s="92">
        <v>232</v>
      </c>
      <c r="D66" s="92">
        <v>17</v>
      </c>
      <c r="E66" s="93">
        <f>D66*100/(D66+C66)</f>
        <v>6.8273092369477908</v>
      </c>
      <c r="F66" s="92">
        <v>0</v>
      </c>
      <c r="G66" s="93">
        <f>F66*100/C66</f>
        <v>0</v>
      </c>
      <c r="H66" s="92">
        <v>99</v>
      </c>
      <c r="I66" s="93">
        <f>H66*100/C66</f>
        <v>42.672413793103445</v>
      </c>
      <c r="J66" s="92">
        <v>933</v>
      </c>
      <c r="K66" s="92">
        <v>183.5</v>
      </c>
      <c r="L66" s="92">
        <v>662</v>
      </c>
      <c r="M66" s="92">
        <v>369</v>
      </c>
      <c r="N66" s="92">
        <v>85</v>
      </c>
      <c r="O66" s="92">
        <v>85</v>
      </c>
      <c r="P66" s="93">
        <f>O66*100/N66</f>
        <v>100</v>
      </c>
    </row>
    <row r="67" spans="1:17" x14ac:dyDescent="0.25">
      <c r="A67" s="105" t="s">
        <v>1999</v>
      </c>
      <c r="B67" s="106" t="s">
        <v>13</v>
      </c>
      <c r="C67" s="107">
        <v>343</v>
      </c>
      <c r="D67" s="107">
        <v>0</v>
      </c>
      <c r="E67" s="104">
        <v>0</v>
      </c>
      <c r="F67" s="107">
        <v>1</v>
      </c>
      <c r="G67" s="104">
        <v>0.29154518950437319</v>
      </c>
      <c r="H67" s="107">
        <v>40</v>
      </c>
      <c r="I67" s="104">
        <v>11.661807580174926</v>
      </c>
      <c r="J67" s="107">
        <v>2627</v>
      </c>
      <c r="K67" s="107">
        <v>234</v>
      </c>
      <c r="L67" s="107">
        <v>2626</v>
      </c>
      <c r="M67" s="107">
        <v>1152</v>
      </c>
      <c r="N67" s="103">
        <v>0</v>
      </c>
      <c r="O67" s="103">
        <v>0</v>
      </c>
      <c r="P67" s="104"/>
      <c r="Q67" s="102"/>
    </row>
    <row r="68" spans="1:17" x14ac:dyDescent="0.25">
      <c r="A68" s="105" t="s">
        <v>2000</v>
      </c>
      <c r="B68" s="106" t="s">
        <v>13</v>
      </c>
      <c r="C68" s="107">
        <v>17</v>
      </c>
      <c r="D68" s="107">
        <v>5</v>
      </c>
      <c r="E68" s="104">
        <v>22.727272727272727</v>
      </c>
      <c r="F68" s="107">
        <v>62</v>
      </c>
      <c r="G68" s="104">
        <v>364.70588235294116</v>
      </c>
      <c r="H68" s="107">
        <v>4</v>
      </c>
      <c r="I68" s="104">
        <v>23.529411764705884</v>
      </c>
      <c r="J68" s="107">
        <v>62</v>
      </c>
      <c r="K68" s="107">
        <v>9</v>
      </c>
      <c r="L68" s="107">
        <v>62</v>
      </c>
      <c r="M68" s="107">
        <v>189</v>
      </c>
      <c r="N68" s="107">
        <v>4</v>
      </c>
      <c r="O68" s="107">
        <v>4</v>
      </c>
      <c r="P68" s="104">
        <v>100</v>
      </c>
    </row>
    <row r="69" spans="1:17" x14ac:dyDescent="0.25">
      <c r="A69" s="105" t="s">
        <v>1057</v>
      </c>
      <c r="B69" s="106" t="s">
        <v>13</v>
      </c>
      <c r="C69" s="107">
        <v>59</v>
      </c>
      <c r="D69" s="107">
        <v>9</v>
      </c>
      <c r="E69" s="104">
        <v>13.235294117647058</v>
      </c>
      <c r="F69" s="107">
        <v>57</v>
      </c>
      <c r="G69" s="104">
        <v>96.610169491525426</v>
      </c>
      <c r="H69" s="107">
        <v>1</v>
      </c>
      <c r="I69" s="104">
        <v>1.6949152542372881</v>
      </c>
      <c r="J69" s="107">
        <v>417</v>
      </c>
      <c r="K69" s="107">
        <v>45</v>
      </c>
      <c r="L69" s="107">
        <v>332</v>
      </c>
      <c r="M69" s="107">
        <v>202.5</v>
      </c>
      <c r="N69" s="107">
        <v>1</v>
      </c>
      <c r="O69" s="107">
        <v>1</v>
      </c>
      <c r="P69" s="104">
        <v>100</v>
      </c>
    </row>
    <row r="70" spans="1:17" x14ac:dyDescent="0.25">
      <c r="A70" s="105" t="s">
        <v>2001</v>
      </c>
      <c r="B70" s="106" t="s">
        <v>13</v>
      </c>
      <c r="C70" s="107">
        <v>12</v>
      </c>
      <c r="D70" s="107">
        <v>4</v>
      </c>
      <c r="E70" s="104">
        <v>25</v>
      </c>
      <c r="F70" s="107">
        <v>10</v>
      </c>
      <c r="G70" s="104">
        <v>83.333333333333329</v>
      </c>
      <c r="H70" s="107">
        <v>2</v>
      </c>
      <c r="I70" s="104">
        <v>16.666666666666668</v>
      </c>
      <c r="J70" s="107">
        <v>33</v>
      </c>
      <c r="K70" s="107">
        <v>9</v>
      </c>
      <c r="L70" s="107">
        <v>33</v>
      </c>
      <c r="M70" s="107">
        <v>54</v>
      </c>
      <c r="N70" s="107">
        <v>2</v>
      </c>
      <c r="O70" s="107">
        <v>2</v>
      </c>
      <c r="P70" s="104">
        <v>100</v>
      </c>
    </row>
    <row r="71" spans="1:17" x14ac:dyDescent="0.2">
      <c r="A71" s="108" t="s">
        <v>2002</v>
      </c>
      <c r="B71" s="106" t="s">
        <v>13</v>
      </c>
      <c r="C71" s="107">
        <v>13</v>
      </c>
      <c r="D71" s="107">
        <v>2</v>
      </c>
      <c r="E71" s="104">
        <v>13.333333333333334</v>
      </c>
      <c r="F71" s="107">
        <v>13</v>
      </c>
      <c r="G71" s="104">
        <v>100</v>
      </c>
      <c r="H71" s="107">
        <v>1</v>
      </c>
      <c r="I71" s="104">
        <v>7.6923076923076925</v>
      </c>
      <c r="J71" s="107">
        <v>82</v>
      </c>
      <c r="K71" s="107">
        <v>13.5</v>
      </c>
      <c r="L71" s="107">
        <v>82</v>
      </c>
      <c r="M71" s="107">
        <v>45</v>
      </c>
      <c r="N71" s="107">
        <v>1</v>
      </c>
      <c r="O71" s="107">
        <v>1</v>
      </c>
      <c r="P71" s="104">
        <v>100</v>
      </c>
    </row>
    <row r="72" spans="1:17" x14ac:dyDescent="0.2">
      <c r="A72" s="108" t="s">
        <v>2003</v>
      </c>
      <c r="B72" s="106" t="s">
        <v>13</v>
      </c>
      <c r="C72" s="107">
        <v>13</v>
      </c>
      <c r="D72" s="107">
        <v>2</v>
      </c>
      <c r="E72" s="104">
        <v>13.333333333333334</v>
      </c>
      <c r="F72" s="107">
        <v>13</v>
      </c>
      <c r="G72" s="104">
        <v>100</v>
      </c>
      <c r="H72" s="107">
        <v>1</v>
      </c>
      <c r="I72" s="104">
        <v>7.6923076923076925</v>
      </c>
      <c r="J72" s="107">
        <v>92</v>
      </c>
      <c r="K72" s="107">
        <v>13.5</v>
      </c>
      <c r="L72" s="107">
        <v>92</v>
      </c>
      <c r="M72" s="107">
        <v>45</v>
      </c>
      <c r="N72" s="107">
        <v>1</v>
      </c>
      <c r="O72" s="107">
        <v>1</v>
      </c>
      <c r="P72" s="104">
        <v>100</v>
      </c>
    </row>
    <row r="73" spans="1:17" x14ac:dyDescent="0.2">
      <c r="A73" s="109" t="s">
        <v>2004</v>
      </c>
      <c r="B73" s="106" t="s">
        <v>13</v>
      </c>
      <c r="C73" s="107">
        <v>4</v>
      </c>
      <c r="D73" s="107">
        <v>4</v>
      </c>
      <c r="E73" s="104">
        <v>50</v>
      </c>
      <c r="F73" s="107">
        <v>4</v>
      </c>
      <c r="G73" s="104">
        <v>100</v>
      </c>
      <c r="H73" s="107">
        <v>2</v>
      </c>
      <c r="I73" s="104">
        <v>50</v>
      </c>
      <c r="J73" s="107">
        <v>25</v>
      </c>
      <c r="K73" s="107">
        <v>4.5</v>
      </c>
      <c r="L73" s="107">
        <v>25</v>
      </c>
      <c r="M73" s="107">
        <v>22.5</v>
      </c>
      <c r="N73" s="107">
        <v>2</v>
      </c>
      <c r="O73" s="107">
        <v>2</v>
      </c>
      <c r="P73" s="104">
        <v>100</v>
      </c>
    </row>
    <row r="74" spans="1:17" x14ac:dyDescent="0.2">
      <c r="A74" s="108" t="s">
        <v>2005</v>
      </c>
      <c r="B74" s="106" t="s">
        <v>13</v>
      </c>
      <c r="C74" s="107">
        <v>11</v>
      </c>
      <c r="D74" s="107">
        <v>2</v>
      </c>
      <c r="E74" s="104">
        <v>15.384615384615385</v>
      </c>
      <c r="F74" s="107">
        <v>11</v>
      </c>
      <c r="G74" s="104">
        <v>100</v>
      </c>
      <c r="H74" s="107">
        <v>3</v>
      </c>
      <c r="I74" s="104">
        <v>27.272727272727273</v>
      </c>
      <c r="J74" s="107">
        <v>54</v>
      </c>
      <c r="K74" s="107">
        <v>9</v>
      </c>
      <c r="L74" s="107">
        <v>54</v>
      </c>
      <c r="M74" s="107">
        <v>36</v>
      </c>
      <c r="N74" s="107">
        <v>3</v>
      </c>
      <c r="O74" s="107">
        <v>3</v>
      </c>
      <c r="P74" s="104">
        <v>100</v>
      </c>
    </row>
    <row r="75" spans="1:17" x14ac:dyDescent="0.25">
      <c r="A75" s="105" t="s">
        <v>2006</v>
      </c>
      <c r="B75" s="106" t="s">
        <v>13</v>
      </c>
      <c r="C75" s="107">
        <v>16</v>
      </c>
      <c r="D75" s="107">
        <v>3</v>
      </c>
      <c r="E75" s="104">
        <v>15.789473684210526</v>
      </c>
      <c r="F75" s="107">
        <v>16</v>
      </c>
      <c r="G75" s="104">
        <v>100</v>
      </c>
      <c r="H75" s="107">
        <v>4</v>
      </c>
      <c r="I75" s="104">
        <v>25</v>
      </c>
      <c r="J75" s="107">
        <v>13</v>
      </c>
      <c r="K75" s="107">
        <v>4.5</v>
      </c>
      <c r="L75" s="107">
        <v>13</v>
      </c>
      <c r="M75" s="107">
        <v>36</v>
      </c>
      <c r="N75" s="107">
        <v>4</v>
      </c>
      <c r="O75" s="107">
        <v>4</v>
      </c>
      <c r="P75" s="104">
        <v>100</v>
      </c>
    </row>
    <row r="76" spans="1:17" x14ac:dyDescent="0.25">
      <c r="A76" s="105" t="s">
        <v>2007</v>
      </c>
      <c r="B76" s="106" t="s">
        <v>13</v>
      </c>
      <c r="C76" s="107">
        <v>17</v>
      </c>
      <c r="D76" s="107">
        <v>0</v>
      </c>
      <c r="E76" s="104">
        <v>0</v>
      </c>
      <c r="F76" s="107">
        <v>16</v>
      </c>
      <c r="G76" s="104">
        <v>94.117647058823536</v>
      </c>
      <c r="H76" s="107">
        <v>1</v>
      </c>
      <c r="I76" s="104">
        <v>5.882352941176471</v>
      </c>
      <c r="J76" s="107">
        <v>28</v>
      </c>
      <c r="K76" s="107">
        <v>4.5</v>
      </c>
      <c r="L76" s="107">
        <v>28</v>
      </c>
      <c r="M76" s="107">
        <v>45</v>
      </c>
      <c r="N76" s="107">
        <v>1</v>
      </c>
      <c r="O76" s="107">
        <v>1</v>
      </c>
      <c r="P76" s="104">
        <v>100</v>
      </c>
    </row>
    <row r="77" spans="1:17" x14ac:dyDescent="0.25">
      <c r="A77" s="105" t="s">
        <v>2008</v>
      </c>
      <c r="B77" s="106" t="s">
        <v>13</v>
      </c>
      <c r="C77" s="107">
        <v>56</v>
      </c>
      <c r="D77" s="107">
        <v>2</v>
      </c>
      <c r="E77" s="104">
        <v>3.4482758620689653</v>
      </c>
      <c r="F77" s="107">
        <v>53</v>
      </c>
      <c r="G77" s="104">
        <v>94.642857142857139</v>
      </c>
      <c r="H77" s="107">
        <v>6</v>
      </c>
      <c r="I77" s="104">
        <v>10.714285714285714</v>
      </c>
      <c r="J77" s="107">
        <v>115</v>
      </c>
      <c r="K77" s="107">
        <v>9</v>
      </c>
      <c r="L77" s="107">
        <v>115</v>
      </c>
      <c r="M77" s="107">
        <v>63</v>
      </c>
      <c r="N77" s="107">
        <v>6</v>
      </c>
      <c r="O77" s="107">
        <v>6</v>
      </c>
      <c r="P77" s="104">
        <v>100</v>
      </c>
    </row>
    <row r="78" spans="1:17" x14ac:dyDescent="0.25">
      <c r="A78" s="105" t="s">
        <v>2009</v>
      </c>
      <c r="B78" s="106" t="s">
        <v>13</v>
      </c>
      <c r="C78" s="107">
        <v>6</v>
      </c>
      <c r="D78" s="107">
        <v>0</v>
      </c>
      <c r="E78" s="104">
        <v>0</v>
      </c>
      <c r="F78" s="107">
        <v>6</v>
      </c>
      <c r="G78" s="104">
        <v>100</v>
      </c>
      <c r="H78" s="107">
        <v>1</v>
      </c>
      <c r="I78" s="104">
        <v>16.666666666666668</v>
      </c>
      <c r="J78" s="107">
        <v>44</v>
      </c>
      <c r="K78" s="107">
        <v>4.5</v>
      </c>
      <c r="L78" s="107">
        <v>44</v>
      </c>
      <c r="M78" s="107">
        <v>36</v>
      </c>
      <c r="N78" s="107">
        <v>1</v>
      </c>
      <c r="O78" s="107">
        <v>1</v>
      </c>
      <c r="P78" s="104">
        <v>100</v>
      </c>
    </row>
    <row r="79" spans="1:17" x14ac:dyDescent="0.25">
      <c r="E79" s="2">
        <f>MEDIAN(E2:E78)</f>
        <v>0</v>
      </c>
    </row>
    <row r="80" spans="1:17" x14ac:dyDescent="0.25">
      <c r="D80" s="115" t="s">
        <v>2016</v>
      </c>
      <c r="E80" s="115">
        <f>AVERAGE(E2:E78)</f>
        <v>3.8769186588723246</v>
      </c>
      <c r="F80" s="115"/>
      <c r="G80" s="115">
        <f>AVERAGE(G2:G78)</f>
        <v>80.659986073518098</v>
      </c>
      <c r="H80" s="115"/>
      <c r="I80" s="115">
        <f>AVERAGE(I2:I78)</f>
        <v>10.76481479374519</v>
      </c>
      <c r="J80" s="115">
        <f>AVERAGE(J2:J78)</f>
        <v>204.71428571428572</v>
      </c>
      <c r="K80" s="115">
        <f>SUM(K2:K78)</f>
        <v>2330</v>
      </c>
      <c r="L80" s="115">
        <f>SUM(L2:L78)</f>
        <v>14343</v>
      </c>
      <c r="M80" s="115">
        <f>SUM(M2:M78)</f>
        <v>8640</v>
      </c>
      <c r="P80" s="2">
        <f>AVERAGE(P2:P78)</f>
        <v>97.475624975624982</v>
      </c>
    </row>
    <row r="81" spans="1:16" x14ac:dyDescent="0.25">
      <c r="D81" s="115" t="s">
        <v>2017</v>
      </c>
      <c r="E81" s="115">
        <f>STDEV(E2:E78)</f>
        <v>8.6681759503794531</v>
      </c>
      <c r="F81" s="115"/>
      <c r="G81" s="115">
        <f>STDEV(G2:G78)</f>
        <v>54.084863099046018</v>
      </c>
      <c r="H81" s="115"/>
      <c r="I81" s="115">
        <f>STDEV(I2:I78)</f>
        <v>22.247608308655995</v>
      </c>
      <c r="J81" s="115">
        <f>STDEV(J2:J78)</f>
        <v>604.9072538119259</v>
      </c>
      <c r="K81" s="115">
        <f>K80/J80</f>
        <v>11.381716678297279</v>
      </c>
      <c r="L81" s="115" t="s">
        <v>2018</v>
      </c>
      <c r="M81" s="115">
        <f>M80/L80</f>
        <v>0.60238443840200795</v>
      </c>
      <c r="P81" s="2">
        <f>STDEV(P2:P78)</f>
        <v>8.2999841641817653</v>
      </c>
    </row>
    <row r="82" spans="1:16" x14ac:dyDescent="0.25">
      <c r="D82" s="115"/>
      <c r="E82" s="115"/>
      <c r="F82" s="115"/>
      <c r="G82" s="115"/>
      <c r="H82" s="115"/>
      <c r="I82" s="115"/>
      <c r="J82" s="115"/>
      <c r="K82" s="115"/>
      <c r="L82" s="115"/>
      <c r="M82" s="115"/>
    </row>
    <row r="83" spans="1:16" x14ac:dyDescent="0.25">
      <c r="D83" s="115" t="s">
        <v>2022</v>
      </c>
      <c r="E83" s="115">
        <f>COUNT(E2:E78)</f>
        <v>67</v>
      </c>
      <c r="F83" s="115"/>
      <c r="G83" s="115">
        <f>COUNT(G2:G78)</f>
        <v>68</v>
      </c>
      <c r="H83" s="115"/>
      <c r="I83" s="115">
        <f>COUNT(I2:I78)</f>
        <v>68</v>
      </c>
      <c r="J83" s="115">
        <f>COUNT(J2:J78)</f>
        <v>77</v>
      </c>
      <c r="K83" s="115">
        <f>COUNT(K2:K78)</f>
        <v>77</v>
      </c>
      <c r="L83" s="115">
        <f>COUNT(L2:L78)</f>
        <v>77</v>
      </c>
      <c r="M83" s="115">
        <f>COUNT(M2:M78)</f>
        <v>65</v>
      </c>
      <c r="P83" s="2">
        <f>COUNT(P2:P78)</f>
        <v>74</v>
      </c>
    </row>
    <row r="84" spans="1:16" ht="21" x14ac:dyDescent="0.25">
      <c r="A84" s="112" t="s">
        <v>2026</v>
      </c>
      <c r="B84" s="114"/>
      <c r="D84" s="115" t="s">
        <v>2019</v>
      </c>
      <c r="E84" s="115">
        <f>VAR(E2:E78)</f>
        <v>75.137274306736728</v>
      </c>
      <c r="F84" s="115"/>
      <c r="G84" s="115">
        <f>VAR(G2:G78)</f>
        <v>2925.17241644255</v>
      </c>
      <c r="H84" s="115"/>
      <c r="I84" s="115">
        <f>VAR(I2:I78)</f>
        <v>494.95607545537928</v>
      </c>
      <c r="J84" s="115">
        <f>VAR(J2:J78)</f>
        <v>365912.78571428568</v>
      </c>
      <c r="K84" s="115">
        <f>VAR(K2:K78)</f>
        <v>6195.0632262474364</v>
      </c>
      <c r="L84" s="115">
        <f>VAR(L2:L78)</f>
        <v>294286.04306220094</v>
      </c>
      <c r="M84" s="115">
        <f>VAR(M2:M78)</f>
        <v>87868.689302884624</v>
      </c>
      <c r="P84" s="2">
        <f>VAR(P2:P78)</f>
        <v>68.889737125668091</v>
      </c>
    </row>
    <row r="85" spans="1:16" x14ac:dyDescent="0.25">
      <c r="D85" s="115" t="s">
        <v>2021</v>
      </c>
      <c r="E85" s="115">
        <f>SUM(E2:E78)/E83</f>
        <v>3.8769186588723246</v>
      </c>
      <c r="F85" s="115"/>
      <c r="G85" s="115">
        <f>SUM(G2:G78)/G83</f>
        <v>80.659986073518098</v>
      </c>
      <c r="H85" s="115"/>
      <c r="I85" s="115">
        <f>SUM(I2:I78)/I83</f>
        <v>10.76481479374519</v>
      </c>
      <c r="J85" s="115">
        <f>SUM(J2:J78)/J83</f>
        <v>204.71428571428572</v>
      </c>
      <c r="K85" s="115">
        <f>SUM(K2:K78)/K83</f>
        <v>30.259740259740258</v>
      </c>
      <c r="L85" s="115">
        <f>SUM(L2:L78)/L83</f>
        <v>186.27272727272728</v>
      </c>
      <c r="M85" s="115">
        <f>SUM(M2:M78)/M83</f>
        <v>132.92307692307693</v>
      </c>
      <c r="P85" s="2">
        <f>SUM(P2:P78)/P83</f>
        <v>97.475624975624982</v>
      </c>
    </row>
    <row r="86" spans="1:16" x14ac:dyDescent="0.25">
      <c r="D86" s="115" t="s">
        <v>2020</v>
      </c>
      <c r="E86" s="115">
        <f>STDEV(E2:E78)</f>
        <v>8.6681759503794531</v>
      </c>
      <c r="F86" s="115"/>
      <c r="G86" s="115">
        <f>STDEV(G2:G78)</f>
        <v>54.084863099046018</v>
      </c>
      <c r="H86" s="115"/>
      <c r="I86" s="115">
        <f>STDEV(I2:I78)</f>
        <v>22.247608308655995</v>
      </c>
      <c r="J86" s="115">
        <f>STDEV(J2:J78)</f>
        <v>604.9072538119259</v>
      </c>
      <c r="K86" s="115">
        <f>STDEV(K2:K78)</f>
        <v>78.708723952605382</v>
      </c>
      <c r="L86" s="115">
        <f>STDEV(L2:L78)</f>
        <v>542.48137577450609</v>
      </c>
      <c r="M86" s="115">
        <f>STDEV(M2:M78)</f>
        <v>296.42653272418886</v>
      </c>
      <c r="P86" s="2">
        <f>STDEV(P2:P78)</f>
        <v>8.2999841641817653</v>
      </c>
    </row>
    <row r="87" spans="1:16" ht="15.75" x14ac:dyDescent="0.25">
      <c r="A87" s="113"/>
      <c r="D87" s="115" t="s">
        <v>2024</v>
      </c>
      <c r="E87" s="115">
        <f>MAX(E2:E78)</f>
        <v>50</v>
      </c>
      <c r="F87" s="115"/>
      <c r="G87" s="115">
        <f>MAX(G2:G78)</f>
        <v>364.70588235294116</v>
      </c>
      <c r="H87" s="115"/>
      <c r="I87" s="115">
        <f>MAX(I2:I78)</f>
        <v>100</v>
      </c>
      <c r="J87" s="115"/>
      <c r="K87" s="115"/>
      <c r="L87" s="115"/>
      <c r="M87" s="115"/>
    </row>
    <row r="88" spans="1:16" x14ac:dyDescent="0.25">
      <c r="D88" s="115" t="s">
        <v>2027</v>
      </c>
      <c r="E88" s="115">
        <f>MEDIAN(E2:E78)+1/E83</f>
        <v>1.4925373134328358E-2</v>
      </c>
      <c r="F88" s="115"/>
      <c r="G88" s="115">
        <f>MEDIAN(G2:G78)+1/G83</f>
        <v>100.01470588235294</v>
      </c>
      <c r="H88" s="115"/>
      <c r="I88" s="115">
        <f>MEDIAN(I2:I78)+1/I83</f>
        <v>1.4705882352941176E-2</v>
      </c>
      <c r="J88" s="115">
        <f>MEDIAN(J2:J78)+1/J83</f>
        <v>30.012987012987011</v>
      </c>
      <c r="K88" s="115">
        <f>MEDIAN(K2:K78)+1/K83</f>
        <v>8.0129870129870131</v>
      </c>
      <c r="L88" s="115">
        <f>MEDIAN(L2:L78)+1/L83</f>
        <v>28.012987012987011</v>
      </c>
      <c r="M88" s="115">
        <f>MEDIAN(M2:M78)+1/M83</f>
        <v>45.015384615384619</v>
      </c>
    </row>
    <row r="89" spans="1:16" x14ac:dyDescent="0.25">
      <c r="D89" s="115"/>
      <c r="E89" s="115"/>
      <c r="F89" s="115"/>
      <c r="G89" s="115"/>
      <c r="H89" s="115"/>
      <c r="I89" s="115"/>
      <c r="J89" s="115"/>
      <c r="K89" s="115"/>
      <c r="L89" s="115"/>
      <c r="M89" s="115"/>
    </row>
    <row r="90" spans="1:16" x14ac:dyDescent="0.25">
      <c r="D90" s="115" t="s">
        <v>2023</v>
      </c>
      <c r="E90" s="115">
        <f>CORREL(D2:D78,E2:E78)</f>
        <v>0.12564352195489728</v>
      </c>
      <c r="F90" s="115"/>
      <c r="G90" s="115">
        <f>CORREL(F2:F78,G2:G78)</f>
        <v>-0.10374605909642795</v>
      </c>
      <c r="H90" s="115"/>
      <c r="I90" s="115">
        <f>CORREL(E2:E78,I2:I78)</f>
        <v>0.17412864652738255</v>
      </c>
      <c r="J90" s="115"/>
      <c r="K90" s="115"/>
      <c r="L90" s="115"/>
      <c r="M90" s="115"/>
    </row>
    <row r="91" spans="1:16" x14ac:dyDescent="0.25">
      <c r="D91" s="115"/>
      <c r="E91" s="115" t="s">
        <v>2025</v>
      </c>
      <c r="F91" s="115"/>
      <c r="G91" s="115" t="s">
        <v>2025</v>
      </c>
      <c r="H91" s="115"/>
      <c r="I91" s="115" t="s">
        <v>2025</v>
      </c>
      <c r="J91" s="115"/>
      <c r="K91" s="115"/>
      <c r="L91" s="115"/>
      <c r="M91" s="115"/>
    </row>
  </sheetData>
  <mergeCells count="1">
    <mergeCell ref="M26:M36"/>
  </mergeCells>
  <pageMargins left="0.7" right="0.7" top="0.75" bottom="0.75" header="0.3" footer="0.3"/>
  <pageSetup paperSize="9" orientation="portrait" verticalDpi="4294967295"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D776-EB03-4782-B57B-F460379143A3}">
  <dimension ref="A1:M1227"/>
  <sheetViews>
    <sheetView topLeftCell="A69" workbookViewId="0">
      <selection activeCell="M4" sqref="M4:M75"/>
    </sheetView>
  </sheetViews>
  <sheetFormatPr defaultRowHeight="15" x14ac:dyDescent="0.25"/>
  <cols>
    <col min="1" max="12" width="9.140625" style="50"/>
    <col min="13" max="13" width="13.140625" style="50" bestFit="1" customWidth="1"/>
    <col min="14" max="14" width="7.140625" style="50" bestFit="1" customWidth="1"/>
    <col min="15" max="16384" width="9.140625" style="50"/>
  </cols>
  <sheetData>
    <row r="1" spans="1:13" x14ac:dyDescent="0.25">
      <c r="A1" s="55"/>
      <c r="B1" s="20" t="s">
        <v>20</v>
      </c>
      <c r="C1" s="20" t="s">
        <v>21</v>
      </c>
      <c r="D1" s="20" t="s">
        <v>22</v>
      </c>
      <c r="E1" s="20" t="s">
        <v>23</v>
      </c>
      <c r="F1" s="20" t="s">
        <v>24</v>
      </c>
      <c r="G1" s="20" t="s">
        <v>25</v>
      </c>
      <c r="H1" s="20" t="s">
        <v>26</v>
      </c>
      <c r="I1" s="20" t="s">
        <v>27</v>
      </c>
      <c r="J1" s="20" t="s">
        <v>28</v>
      </c>
      <c r="K1" s="20" t="s">
        <v>29</v>
      </c>
    </row>
    <row r="2" spans="1:13" x14ac:dyDescent="0.25">
      <c r="A2" s="55"/>
      <c r="B2" s="56">
        <v>10</v>
      </c>
      <c r="C2" s="21" t="s">
        <v>30</v>
      </c>
      <c r="D2" s="21" t="s">
        <v>31</v>
      </c>
      <c r="E2" s="57" t="s">
        <v>32</v>
      </c>
      <c r="F2" s="26"/>
      <c r="G2" s="57" t="s">
        <v>33</v>
      </c>
      <c r="H2" s="26"/>
      <c r="I2" s="26"/>
      <c r="J2" s="26"/>
      <c r="K2" s="26"/>
    </row>
    <row r="3" spans="1:13" x14ac:dyDescent="0.25">
      <c r="A3" s="55"/>
      <c r="B3" s="56">
        <v>10</v>
      </c>
      <c r="C3" s="21" t="s">
        <v>30</v>
      </c>
      <c r="D3" s="21" t="s">
        <v>34</v>
      </c>
      <c r="E3" s="57" t="s">
        <v>35</v>
      </c>
      <c r="F3" s="26"/>
      <c r="G3" s="57" t="s">
        <v>33</v>
      </c>
      <c r="H3" s="26"/>
      <c r="I3" s="26"/>
      <c r="J3" s="26"/>
      <c r="K3" s="26"/>
      <c r="M3" s="58" t="s">
        <v>1932</v>
      </c>
    </row>
    <row r="4" spans="1:13" x14ac:dyDescent="0.25">
      <c r="A4" s="55"/>
      <c r="B4" s="56">
        <v>10</v>
      </c>
      <c r="C4" s="21" t="s">
        <v>30</v>
      </c>
      <c r="D4" s="21" t="s">
        <v>36</v>
      </c>
      <c r="E4" s="57" t="s">
        <v>37</v>
      </c>
      <c r="F4" s="26" t="s">
        <v>38</v>
      </c>
      <c r="G4" s="57" t="s">
        <v>39</v>
      </c>
      <c r="H4" s="26"/>
      <c r="I4" s="26"/>
      <c r="J4" s="26"/>
      <c r="K4" s="26"/>
      <c r="M4" s="19">
        <v>1.3</v>
      </c>
    </row>
    <row r="5" spans="1:13" x14ac:dyDescent="0.25">
      <c r="A5" s="55"/>
      <c r="B5" s="56">
        <v>10</v>
      </c>
      <c r="C5" s="21" t="s">
        <v>30</v>
      </c>
      <c r="D5" s="21" t="s">
        <v>36</v>
      </c>
      <c r="E5" s="57" t="s">
        <v>40</v>
      </c>
      <c r="F5" s="26" t="s">
        <v>38</v>
      </c>
      <c r="G5" s="57" t="s">
        <v>39</v>
      </c>
      <c r="H5" s="26"/>
      <c r="I5" s="26"/>
      <c r="J5" s="26"/>
      <c r="K5" s="26"/>
      <c r="M5" s="19">
        <v>4.0999999999999996</v>
      </c>
    </row>
    <row r="6" spans="1:13" x14ac:dyDescent="0.25">
      <c r="A6" s="55"/>
      <c r="B6" s="56">
        <v>10</v>
      </c>
      <c r="C6" s="21" t="s">
        <v>30</v>
      </c>
      <c r="D6" s="21" t="s">
        <v>36</v>
      </c>
      <c r="E6" s="57" t="s">
        <v>41</v>
      </c>
      <c r="F6" s="26" t="s">
        <v>38</v>
      </c>
      <c r="G6" s="57" t="s">
        <v>39</v>
      </c>
      <c r="H6" s="26"/>
      <c r="I6" s="26"/>
      <c r="J6" s="26"/>
      <c r="K6" s="26"/>
      <c r="M6" s="19">
        <v>4.1100000000000003</v>
      </c>
    </row>
    <row r="7" spans="1:13" x14ac:dyDescent="0.25">
      <c r="A7" s="55"/>
      <c r="B7" s="56">
        <v>10</v>
      </c>
      <c r="C7" s="21" t="s">
        <v>30</v>
      </c>
      <c r="D7" s="21" t="s">
        <v>36</v>
      </c>
      <c r="E7" s="57" t="s">
        <v>42</v>
      </c>
      <c r="F7" s="26" t="s">
        <v>38</v>
      </c>
      <c r="G7" s="57" t="s">
        <v>39</v>
      </c>
      <c r="H7" s="26"/>
      <c r="I7" s="26"/>
      <c r="J7" s="26"/>
      <c r="K7" s="26"/>
      <c r="M7" s="19">
        <v>4.12</v>
      </c>
    </row>
    <row r="8" spans="1:13" x14ac:dyDescent="0.25">
      <c r="A8" s="55"/>
      <c r="B8" s="56">
        <v>10</v>
      </c>
      <c r="C8" s="21" t="s">
        <v>30</v>
      </c>
      <c r="D8" s="21" t="s">
        <v>43</v>
      </c>
      <c r="E8" s="57" t="s">
        <v>44</v>
      </c>
      <c r="F8" s="26" t="s">
        <v>38</v>
      </c>
      <c r="G8" s="57" t="s">
        <v>39</v>
      </c>
      <c r="H8" s="26"/>
      <c r="I8" s="26"/>
      <c r="J8" s="26"/>
      <c r="K8" s="26"/>
      <c r="M8" s="19">
        <v>4.13</v>
      </c>
    </row>
    <row r="9" spans="1:13" x14ac:dyDescent="0.25">
      <c r="A9" s="55"/>
      <c r="B9" s="56">
        <v>10</v>
      </c>
      <c r="C9" s="21" t="s">
        <v>30</v>
      </c>
      <c r="D9" s="21" t="s">
        <v>43</v>
      </c>
      <c r="E9" s="57" t="s">
        <v>45</v>
      </c>
      <c r="F9" s="26" t="s">
        <v>38</v>
      </c>
      <c r="G9" s="57" t="s">
        <v>39</v>
      </c>
      <c r="H9" s="26"/>
      <c r="I9" s="26"/>
      <c r="J9" s="26"/>
      <c r="K9" s="26"/>
      <c r="M9" s="19">
        <v>4.1399999999999997</v>
      </c>
    </row>
    <row r="10" spans="1:13" x14ac:dyDescent="0.25">
      <c r="A10" s="55"/>
      <c r="B10" s="56">
        <v>10</v>
      </c>
      <c r="C10" s="21" t="s">
        <v>30</v>
      </c>
      <c r="D10" s="21" t="s">
        <v>43</v>
      </c>
      <c r="E10" s="57" t="s">
        <v>46</v>
      </c>
      <c r="F10" s="26" t="s">
        <v>38</v>
      </c>
      <c r="G10" s="57" t="s">
        <v>39</v>
      </c>
      <c r="H10" s="26"/>
      <c r="I10" s="26"/>
      <c r="J10" s="26"/>
      <c r="K10" s="26"/>
      <c r="M10" s="19">
        <v>4.1500000000000004</v>
      </c>
    </row>
    <row r="11" spans="1:13" x14ac:dyDescent="0.25">
      <c r="A11" s="55"/>
      <c r="B11" s="56">
        <v>10</v>
      </c>
      <c r="C11" s="21" t="s">
        <v>30</v>
      </c>
      <c r="D11" s="21" t="s">
        <v>43</v>
      </c>
      <c r="E11" s="57" t="s">
        <v>47</v>
      </c>
      <c r="F11" s="26" t="s">
        <v>38</v>
      </c>
      <c r="G11" s="57" t="s">
        <v>39</v>
      </c>
      <c r="H11" s="26"/>
      <c r="I11" s="26"/>
      <c r="J11" s="26"/>
      <c r="K11" s="26"/>
      <c r="M11" s="19">
        <v>4.16</v>
      </c>
    </row>
    <row r="12" spans="1:13" x14ac:dyDescent="0.25">
      <c r="A12" s="55"/>
      <c r="B12" s="56">
        <v>10</v>
      </c>
      <c r="C12" s="21" t="s">
        <v>30</v>
      </c>
      <c r="D12" s="21" t="s">
        <v>43</v>
      </c>
      <c r="E12" s="57" t="s">
        <v>48</v>
      </c>
      <c r="F12" s="26" t="s">
        <v>38</v>
      </c>
      <c r="G12" s="57" t="s">
        <v>39</v>
      </c>
      <c r="H12" s="26"/>
      <c r="I12" s="26"/>
      <c r="J12" s="26"/>
      <c r="K12" s="26"/>
      <c r="M12" s="19">
        <v>4.2</v>
      </c>
    </row>
    <row r="13" spans="1:13" x14ac:dyDescent="0.25">
      <c r="A13" s="55"/>
      <c r="B13" s="56">
        <v>10</v>
      </c>
      <c r="C13" s="21" t="s">
        <v>30</v>
      </c>
      <c r="D13" s="21" t="s">
        <v>43</v>
      </c>
      <c r="E13" s="57" t="s">
        <v>49</v>
      </c>
      <c r="F13" s="26" t="s">
        <v>38</v>
      </c>
      <c r="G13" s="57" t="s">
        <v>39</v>
      </c>
      <c r="H13" s="26"/>
      <c r="I13" s="26"/>
      <c r="J13" s="26"/>
      <c r="K13" s="26"/>
      <c r="M13" s="19">
        <v>4.3</v>
      </c>
    </row>
    <row r="14" spans="1:13" x14ac:dyDescent="0.25">
      <c r="A14" s="55"/>
      <c r="B14" s="56">
        <v>10</v>
      </c>
      <c r="C14" s="21" t="s">
        <v>30</v>
      </c>
      <c r="D14" s="21" t="s">
        <v>50</v>
      </c>
      <c r="E14" s="57" t="s">
        <v>51</v>
      </c>
      <c r="F14" s="26"/>
      <c r="G14" s="57" t="s">
        <v>33</v>
      </c>
      <c r="H14" s="26"/>
      <c r="I14" s="26"/>
      <c r="J14" s="26"/>
      <c r="K14" s="26"/>
      <c r="M14" s="19">
        <v>4.4000000000000004</v>
      </c>
    </row>
    <row r="15" spans="1:13" x14ac:dyDescent="0.25">
      <c r="A15" s="55"/>
      <c r="B15" s="56">
        <v>10</v>
      </c>
      <c r="C15" s="21" t="s">
        <v>30</v>
      </c>
      <c r="D15" s="21" t="s">
        <v>50</v>
      </c>
      <c r="E15" s="57" t="s">
        <v>52</v>
      </c>
      <c r="F15" s="26"/>
      <c r="G15" s="57" t="s">
        <v>33</v>
      </c>
      <c r="H15" s="26"/>
      <c r="I15" s="26"/>
      <c r="J15" s="26"/>
      <c r="K15" s="26"/>
      <c r="M15" s="19">
        <v>4.5</v>
      </c>
    </row>
    <row r="16" spans="1:13" x14ac:dyDescent="0.25">
      <c r="A16" s="55"/>
      <c r="B16" s="56">
        <v>10</v>
      </c>
      <c r="C16" s="21" t="s">
        <v>30</v>
      </c>
      <c r="D16" s="21" t="s">
        <v>50</v>
      </c>
      <c r="E16" s="57" t="s">
        <v>53</v>
      </c>
      <c r="F16" s="26"/>
      <c r="G16" s="57" t="s">
        <v>33</v>
      </c>
      <c r="H16" s="26"/>
      <c r="I16" s="26"/>
      <c r="J16" s="26"/>
      <c r="K16" s="26"/>
      <c r="M16" s="19">
        <v>4.5999999999999996</v>
      </c>
    </row>
    <row r="17" spans="1:13" x14ac:dyDescent="0.25">
      <c r="A17" s="55"/>
      <c r="B17" s="56">
        <v>10</v>
      </c>
      <c r="C17" s="21" t="s">
        <v>30</v>
      </c>
      <c r="D17" s="21" t="s">
        <v>50</v>
      </c>
      <c r="E17" s="57" t="s">
        <v>54</v>
      </c>
      <c r="F17" s="26"/>
      <c r="G17" s="57" t="s">
        <v>33</v>
      </c>
      <c r="H17" s="26"/>
      <c r="I17" s="26"/>
      <c r="J17" s="26"/>
      <c r="K17" s="26"/>
      <c r="M17" s="19">
        <v>4.7</v>
      </c>
    </row>
    <row r="18" spans="1:13" x14ac:dyDescent="0.25">
      <c r="A18" s="55"/>
      <c r="B18" s="56">
        <v>10</v>
      </c>
      <c r="C18" s="21" t="s">
        <v>30</v>
      </c>
      <c r="D18" s="21" t="s">
        <v>50</v>
      </c>
      <c r="E18" s="57" t="s">
        <v>55</v>
      </c>
      <c r="F18" s="26"/>
      <c r="G18" s="57" t="s">
        <v>33</v>
      </c>
      <c r="H18" s="26"/>
      <c r="I18" s="26"/>
      <c r="J18" s="26"/>
      <c r="K18" s="26"/>
      <c r="M18" s="19">
        <v>4.8</v>
      </c>
    </row>
    <row r="19" spans="1:13" x14ac:dyDescent="0.25">
      <c r="A19" s="55"/>
      <c r="B19" s="56">
        <v>10</v>
      </c>
      <c r="C19" s="21" t="s">
        <v>30</v>
      </c>
      <c r="D19" s="21" t="s">
        <v>50</v>
      </c>
      <c r="E19" s="57" t="s">
        <v>56</v>
      </c>
      <c r="F19" s="26"/>
      <c r="G19" s="57" t="s">
        <v>33</v>
      </c>
      <c r="H19" s="26"/>
      <c r="I19" s="26"/>
      <c r="J19" s="26"/>
      <c r="K19" s="26"/>
      <c r="M19" s="19">
        <v>4.9000000000000004</v>
      </c>
    </row>
    <row r="20" spans="1:13" x14ac:dyDescent="0.25">
      <c r="A20" s="55"/>
      <c r="B20" s="56">
        <v>10</v>
      </c>
      <c r="C20" s="21" t="s">
        <v>30</v>
      </c>
      <c r="D20" s="21" t="s">
        <v>50</v>
      </c>
      <c r="E20" s="57" t="s">
        <v>57</v>
      </c>
      <c r="F20" s="26"/>
      <c r="G20" s="57" t="s">
        <v>33</v>
      </c>
      <c r="H20" s="26"/>
      <c r="I20" s="26"/>
      <c r="J20" s="26"/>
      <c r="K20" s="26"/>
      <c r="M20" s="19">
        <v>5</v>
      </c>
    </row>
    <row r="21" spans="1:13" x14ac:dyDescent="0.25">
      <c r="A21" s="55"/>
      <c r="B21" s="56">
        <v>10</v>
      </c>
      <c r="C21" s="21" t="s">
        <v>30</v>
      </c>
      <c r="D21" s="21" t="s">
        <v>50</v>
      </c>
      <c r="E21" s="57" t="s">
        <v>58</v>
      </c>
      <c r="F21" s="26"/>
      <c r="G21" s="57" t="s">
        <v>33</v>
      </c>
      <c r="H21" s="26"/>
      <c r="I21" s="26"/>
      <c r="J21" s="26"/>
      <c r="K21" s="26"/>
      <c r="M21" s="19">
        <v>6.1</v>
      </c>
    </row>
    <row r="22" spans="1:13" x14ac:dyDescent="0.25">
      <c r="A22" s="55"/>
      <c r="B22" s="56">
        <v>10</v>
      </c>
      <c r="C22" s="21" t="s">
        <v>30</v>
      </c>
      <c r="D22" s="21" t="s">
        <v>50</v>
      </c>
      <c r="E22" s="57" t="s">
        <v>59</v>
      </c>
      <c r="F22" s="26"/>
      <c r="G22" s="57" t="s">
        <v>33</v>
      </c>
      <c r="H22" s="26"/>
      <c r="I22" s="26"/>
      <c r="J22" s="26"/>
      <c r="K22" s="26"/>
      <c r="M22" s="19">
        <v>6.11</v>
      </c>
    </row>
    <row r="23" spans="1:13" x14ac:dyDescent="0.25">
      <c r="A23" s="55"/>
      <c r="B23" s="56">
        <v>10</v>
      </c>
      <c r="C23" s="21" t="s">
        <v>30</v>
      </c>
      <c r="D23" s="21" t="s">
        <v>60</v>
      </c>
      <c r="E23" s="57" t="s">
        <v>61</v>
      </c>
      <c r="F23" s="26" t="s">
        <v>38</v>
      </c>
      <c r="G23" s="57" t="s">
        <v>39</v>
      </c>
      <c r="H23" s="26"/>
      <c r="I23" s="26"/>
      <c r="J23" s="26"/>
      <c r="K23" s="26"/>
      <c r="M23" s="19">
        <v>6.12</v>
      </c>
    </row>
    <row r="24" spans="1:13" x14ac:dyDescent="0.25">
      <c r="A24" s="55"/>
      <c r="B24" s="56">
        <v>10</v>
      </c>
      <c r="C24" s="21" t="s">
        <v>30</v>
      </c>
      <c r="D24" s="21" t="s">
        <v>60</v>
      </c>
      <c r="E24" s="57" t="s">
        <v>62</v>
      </c>
      <c r="F24" s="26" t="s">
        <v>38</v>
      </c>
      <c r="G24" s="57" t="s">
        <v>39</v>
      </c>
      <c r="H24" s="26"/>
      <c r="I24" s="26"/>
      <c r="J24" s="26"/>
      <c r="K24" s="26"/>
      <c r="M24" s="19">
        <v>6.13</v>
      </c>
    </row>
    <row r="25" spans="1:13" x14ac:dyDescent="0.25">
      <c r="A25" s="55"/>
      <c r="B25" s="56">
        <v>10</v>
      </c>
      <c r="C25" s="21" t="s">
        <v>30</v>
      </c>
      <c r="D25" s="21" t="s">
        <v>60</v>
      </c>
      <c r="E25" s="57" t="s">
        <v>63</v>
      </c>
      <c r="F25" s="26" t="s">
        <v>38</v>
      </c>
      <c r="G25" s="57" t="s">
        <v>39</v>
      </c>
      <c r="H25" s="26"/>
      <c r="I25" s="26"/>
      <c r="J25" s="26"/>
      <c r="K25" s="26"/>
      <c r="M25" s="19">
        <v>6.14</v>
      </c>
    </row>
    <row r="26" spans="1:13" x14ac:dyDescent="0.25">
      <c r="A26" s="55"/>
      <c r="B26" s="56">
        <v>10</v>
      </c>
      <c r="C26" s="21" t="s">
        <v>30</v>
      </c>
      <c r="D26" s="21" t="s">
        <v>60</v>
      </c>
      <c r="E26" s="57" t="s">
        <v>64</v>
      </c>
      <c r="F26" s="26" t="s">
        <v>38</v>
      </c>
      <c r="G26" s="57" t="s">
        <v>39</v>
      </c>
      <c r="H26" s="26"/>
      <c r="I26" s="26"/>
      <c r="J26" s="26"/>
      <c r="K26" s="26"/>
      <c r="M26" s="19">
        <v>6.16</v>
      </c>
    </row>
    <row r="27" spans="1:13" x14ac:dyDescent="0.25">
      <c r="A27" s="55"/>
      <c r="B27" s="56">
        <v>10</v>
      </c>
      <c r="C27" s="21" t="s">
        <v>30</v>
      </c>
      <c r="D27" s="21" t="s">
        <v>60</v>
      </c>
      <c r="E27" s="57" t="s">
        <v>65</v>
      </c>
      <c r="F27" s="26" t="s">
        <v>38</v>
      </c>
      <c r="G27" s="57" t="s">
        <v>39</v>
      </c>
      <c r="H27" s="26"/>
      <c r="I27" s="26"/>
      <c r="J27" s="26"/>
      <c r="K27" s="26"/>
      <c r="M27" s="19">
        <v>6.17</v>
      </c>
    </row>
    <row r="28" spans="1:13" x14ac:dyDescent="0.25">
      <c r="A28" s="55"/>
      <c r="B28" s="56">
        <v>10</v>
      </c>
      <c r="C28" s="21" t="s">
        <v>30</v>
      </c>
      <c r="D28" s="21" t="s">
        <v>60</v>
      </c>
      <c r="E28" s="57" t="s">
        <v>66</v>
      </c>
      <c r="F28" s="26" t="s">
        <v>38</v>
      </c>
      <c r="G28" s="57" t="s">
        <v>39</v>
      </c>
      <c r="H28" s="26"/>
      <c r="I28" s="26"/>
      <c r="J28" s="26"/>
      <c r="K28" s="26"/>
      <c r="M28" s="19">
        <v>6.18</v>
      </c>
    </row>
    <row r="29" spans="1:13" x14ac:dyDescent="0.25">
      <c r="A29" s="55"/>
      <c r="B29" s="56">
        <v>10</v>
      </c>
      <c r="C29" s="21" t="s">
        <v>30</v>
      </c>
      <c r="D29" s="21" t="s">
        <v>60</v>
      </c>
      <c r="E29" s="57" t="s">
        <v>67</v>
      </c>
      <c r="F29" s="26" t="s">
        <v>38</v>
      </c>
      <c r="G29" s="57" t="s">
        <v>39</v>
      </c>
      <c r="H29" s="26"/>
      <c r="I29" s="26"/>
      <c r="J29" s="26"/>
      <c r="K29" s="26"/>
      <c r="M29" s="19">
        <v>6.19</v>
      </c>
    </row>
    <row r="30" spans="1:13" x14ac:dyDescent="0.25">
      <c r="A30" s="55"/>
      <c r="B30" s="56">
        <v>10</v>
      </c>
      <c r="C30" s="21" t="s">
        <v>30</v>
      </c>
      <c r="D30" s="21" t="s">
        <v>68</v>
      </c>
      <c r="E30" s="57" t="s">
        <v>69</v>
      </c>
      <c r="F30" s="26" t="s">
        <v>38</v>
      </c>
      <c r="G30" s="57" t="s">
        <v>39</v>
      </c>
      <c r="H30" s="26"/>
      <c r="I30" s="26"/>
      <c r="J30" s="26"/>
      <c r="K30" s="26"/>
      <c r="M30" s="19">
        <v>6.2</v>
      </c>
    </row>
    <row r="31" spans="1:13" x14ac:dyDescent="0.25">
      <c r="A31" s="55"/>
      <c r="B31" s="56">
        <v>10</v>
      </c>
      <c r="C31" s="21" t="s">
        <v>30</v>
      </c>
      <c r="D31" s="21" t="s">
        <v>68</v>
      </c>
      <c r="E31" s="57" t="s">
        <v>70</v>
      </c>
      <c r="F31" s="26" t="s">
        <v>38</v>
      </c>
      <c r="G31" s="57" t="s">
        <v>39</v>
      </c>
      <c r="H31" s="26"/>
      <c r="I31" s="26"/>
      <c r="J31" s="26"/>
      <c r="K31" s="26"/>
      <c r="M31" s="19">
        <v>6.21</v>
      </c>
    </row>
    <row r="32" spans="1:13" x14ac:dyDescent="0.25">
      <c r="A32" s="55"/>
      <c r="B32" s="56">
        <v>10</v>
      </c>
      <c r="C32" s="21" t="s">
        <v>30</v>
      </c>
      <c r="D32" s="21" t="s">
        <v>68</v>
      </c>
      <c r="E32" s="57" t="s">
        <v>71</v>
      </c>
      <c r="F32" s="26" t="s">
        <v>38</v>
      </c>
      <c r="G32" s="57" t="s">
        <v>39</v>
      </c>
      <c r="H32" s="26"/>
      <c r="I32" s="26"/>
      <c r="J32" s="26"/>
      <c r="K32" s="26"/>
      <c r="M32" s="19">
        <v>6.3</v>
      </c>
    </row>
    <row r="33" spans="1:13" x14ac:dyDescent="0.25">
      <c r="A33" s="55"/>
      <c r="B33" s="56">
        <v>10</v>
      </c>
      <c r="C33" s="21" t="s">
        <v>30</v>
      </c>
      <c r="D33" s="21" t="s">
        <v>68</v>
      </c>
      <c r="E33" s="57" t="s">
        <v>72</v>
      </c>
      <c r="F33" s="26" t="s">
        <v>38</v>
      </c>
      <c r="G33" s="57" t="s">
        <v>39</v>
      </c>
      <c r="H33" s="26"/>
      <c r="I33" s="26"/>
      <c r="J33" s="26"/>
      <c r="K33" s="26"/>
      <c r="M33" s="19">
        <v>6.4</v>
      </c>
    </row>
    <row r="34" spans="1:13" x14ac:dyDescent="0.25">
      <c r="A34" s="55"/>
      <c r="B34" s="56">
        <v>9.1</v>
      </c>
      <c r="C34" s="21" t="s">
        <v>73</v>
      </c>
      <c r="D34" s="21" t="s">
        <v>74</v>
      </c>
      <c r="E34" s="57" t="s">
        <v>75</v>
      </c>
      <c r="F34" s="26"/>
      <c r="G34" s="57" t="s">
        <v>76</v>
      </c>
      <c r="H34" s="26"/>
      <c r="I34" s="26"/>
      <c r="J34" s="26"/>
      <c r="K34" s="26"/>
      <c r="M34" s="19">
        <v>6.5</v>
      </c>
    </row>
    <row r="35" spans="1:13" x14ac:dyDescent="0.25">
      <c r="A35" s="55"/>
      <c r="B35" s="56">
        <v>9.1</v>
      </c>
      <c r="C35" s="21" t="s">
        <v>73</v>
      </c>
      <c r="D35" s="21" t="s">
        <v>77</v>
      </c>
      <c r="E35" s="57" t="s">
        <v>78</v>
      </c>
      <c r="F35" s="26"/>
      <c r="G35" s="57" t="s">
        <v>76</v>
      </c>
      <c r="H35" s="26"/>
      <c r="I35" s="26"/>
      <c r="J35" s="26"/>
      <c r="K35" s="26"/>
      <c r="M35" s="19">
        <v>6.6</v>
      </c>
    </row>
    <row r="36" spans="1:13" x14ac:dyDescent="0.25">
      <c r="A36" s="55"/>
      <c r="B36" s="56">
        <v>9.1</v>
      </c>
      <c r="C36" s="21" t="s">
        <v>73</v>
      </c>
      <c r="D36" s="21" t="s">
        <v>79</v>
      </c>
      <c r="E36" s="57" t="s">
        <v>80</v>
      </c>
      <c r="F36" s="26"/>
      <c r="G36" s="57" t="s">
        <v>76</v>
      </c>
      <c r="H36" s="59" t="s">
        <v>81</v>
      </c>
      <c r="I36" s="26"/>
      <c r="J36" s="26"/>
      <c r="K36" s="26"/>
      <c r="M36" s="19">
        <v>6.7</v>
      </c>
    </row>
    <row r="37" spans="1:13" x14ac:dyDescent="0.25">
      <c r="A37" s="55"/>
      <c r="B37" s="56">
        <v>9.1</v>
      </c>
      <c r="C37" s="21" t="s">
        <v>73</v>
      </c>
      <c r="D37" s="21" t="s">
        <v>79</v>
      </c>
      <c r="E37" s="57" t="s">
        <v>82</v>
      </c>
      <c r="F37" s="26"/>
      <c r="G37" s="57" t="s">
        <v>76</v>
      </c>
      <c r="H37" s="59">
        <v>185956</v>
      </c>
      <c r="I37" s="26"/>
      <c r="J37" s="26"/>
      <c r="K37" s="26"/>
      <c r="M37" s="19">
        <v>6.8</v>
      </c>
    </row>
    <row r="38" spans="1:13" x14ac:dyDescent="0.25">
      <c r="A38" s="55"/>
      <c r="B38" s="56">
        <v>9.1</v>
      </c>
      <c r="C38" s="21" t="s">
        <v>73</v>
      </c>
      <c r="D38" s="21" t="s">
        <v>79</v>
      </c>
      <c r="E38" s="57" t="s">
        <v>83</v>
      </c>
      <c r="F38" s="26"/>
      <c r="G38" s="57" t="s">
        <v>76</v>
      </c>
      <c r="H38" s="59">
        <v>185967</v>
      </c>
      <c r="I38" s="26"/>
      <c r="J38" s="26"/>
      <c r="K38" s="26"/>
      <c r="M38" s="19">
        <v>6.9</v>
      </c>
    </row>
    <row r="39" spans="1:13" x14ac:dyDescent="0.25">
      <c r="A39" s="55"/>
      <c r="B39" s="56">
        <v>9.1</v>
      </c>
      <c r="C39" s="21" t="s">
        <v>73</v>
      </c>
      <c r="D39" s="21" t="s">
        <v>79</v>
      </c>
      <c r="E39" s="57" t="s">
        <v>84</v>
      </c>
      <c r="F39" s="26"/>
      <c r="G39" s="57" t="s">
        <v>76</v>
      </c>
      <c r="H39" s="26"/>
      <c r="I39" s="26"/>
      <c r="J39" s="26"/>
      <c r="K39" s="26"/>
      <c r="M39" s="19">
        <v>7</v>
      </c>
    </row>
    <row r="40" spans="1:13" x14ac:dyDescent="0.25">
      <c r="A40" s="55"/>
      <c r="B40" s="56">
        <v>9.1</v>
      </c>
      <c r="C40" s="21" t="s">
        <v>73</v>
      </c>
      <c r="D40" s="21" t="s">
        <v>79</v>
      </c>
      <c r="E40" s="57" t="s">
        <v>85</v>
      </c>
      <c r="F40" s="26"/>
      <c r="G40" s="57" t="s">
        <v>76</v>
      </c>
      <c r="H40" s="59">
        <v>185967</v>
      </c>
      <c r="I40" s="26"/>
      <c r="J40" s="26"/>
      <c r="K40" s="26"/>
      <c r="M40" s="19">
        <v>8</v>
      </c>
    </row>
    <row r="41" spans="1:13" ht="15.75" x14ac:dyDescent="0.25">
      <c r="A41" s="55"/>
      <c r="B41" s="56">
        <v>9.1</v>
      </c>
      <c r="C41" s="21" t="s">
        <v>73</v>
      </c>
      <c r="D41" s="21" t="s">
        <v>86</v>
      </c>
      <c r="E41" s="57" t="s">
        <v>87</v>
      </c>
      <c r="F41" s="26"/>
      <c r="G41" s="57" t="s">
        <v>88</v>
      </c>
      <c r="H41" s="60" t="s">
        <v>89</v>
      </c>
      <c r="I41" s="26" t="s">
        <v>90</v>
      </c>
      <c r="J41" s="61">
        <v>42747</v>
      </c>
      <c r="K41" s="26"/>
      <c r="M41" s="19">
        <v>9.1</v>
      </c>
    </row>
    <row r="42" spans="1:13" ht="15.75" x14ac:dyDescent="0.25">
      <c r="A42" s="55"/>
      <c r="B42" s="56">
        <v>9.1</v>
      </c>
      <c r="C42" s="21" t="s">
        <v>73</v>
      </c>
      <c r="D42" s="21" t="s">
        <v>86</v>
      </c>
      <c r="E42" s="57" t="s">
        <v>91</v>
      </c>
      <c r="F42" s="26" t="s">
        <v>92</v>
      </c>
      <c r="G42" s="60" t="s">
        <v>39</v>
      </c>
      <c r="H42" s="60">
        <v>189545</v>
      </c>
      <c r="I42" s="61">
        <v>42744</v>
      </c>
      <c r="J42" s="61">
        <v>42747</v>
      </c>
      <c r="K42" s="26"/>
      <c r="M42" s="19">
        <v>9.11</v>
      </c>
    </row>
    <row r="43" spans="1:13" x14ac:dyDescent="0.25">
      <c r="A43" s="55"/>
      <c r="B43" s="56">
        <v>9.1</v>
      </c>
      <c r="C43" s="21" t="s">
        <v>73</v>
      </c>
      <c r="D43" s="21" t="s">
        <v>93</v>
      </c>
      <c r="E43" s="57" t="s">
        <v>94</v>
      </c>
      <c r="F43" s="26"/>
      <c r="G43" s="57" t="s">
        <v>76</v>
      </c>
      <c r="H43" s="26"/>
      <c r="I43" s="26"/>
      <c r="J43" s="26"/>
      <c r="K43" s="26"/>
      <c r="M43" s="19">
        <v>9.1199999999999992</v>
      </c>
    </row>
    <row r="44" spans="1:13" x14ac:dyDescent="0.25">
      <c r="A44" s="55"/>
      <c r="B44" s="56">
        <v>9.1999999999999993</v>
      </c>
      <c r="C44" s="21" t="s">
        <v>95</v>
      </c>
      <c r="D44" s="21" t="s">
        <v>96</v>
      </c>
      <c r="E44" s="57" t="s">
        <v>97</v>
      </c>
      <c r="F44" s="26"/>
      <c r="G44" s="57" t="s">
        <v>76</v>
      </c>
      <c r="H44" s="26"/>
      <c r="I44" s="26"/>
      <c r="J44" s="26"/>
      <c r="K44" s="26"/>
      <c r="M44" s="19">
        <v>9.1300000000000008</v>
      </c>
    </row>
    <row r="45" spans="1:13" x14ac:dyDescent="0.25">
      <c r="A45" s="55"/>
      <c r="B45" s="56">
        <v>9.1999999999999993</v>
      </c>
      <c r="C45" s="21" t="s">
        <v>95</v>
      </c>
      <c r="D45" s="21" t="s">
        <v>96</v>
      </c>
      <c r="E45" s="57" t="s">
        <v>98</v>
      </c>
      <c r="F45" s="26"/>
      <c r="G45" s="57" t="s">
        <v>76</v>
      </c>
      <c r="H45" s="26"/>
      <c r="I45" s="26"/>
      <c r="J45" s="26"/>
      <c r="K45" s="26"/>
      <c r="M45" s="19">
        <v>9.14</v>
      </c>
    </row>
    <row r="46" spans="1:13" x14ac:dyDescent="0.25">
      <c r="A46" s="55"/>
      <c r="B46" s="56">
        <v>9.1999999999999993</v>
      </c>
      <c r="C46" s="21" t="s">
        <v>95</v>
      </c>
      <c r="D46" s="21" t="s">
        <v>96</v>
      </c>
      <c r="E46" s="57" t="s">
        <v>99</v>
      </c>
      <c r="F46" s="26"/>
      <c r="G46" s="57" t="s">
        <v>76</v>
      </c>
      <c r="H46" s="26"/>
      <c r="I46" s="26"/>
      <c r="J46" s="26"/>
      <c r="K46" s="26"/>
      <c r="M46" s="19">
        <v>9.15</v>
      </c>
    </row>
    <row r="47" spans="1:13" x14ac:dyDescent="0.25">
      <c r="A47" s="55"/>
      <c r="B47" s="56">
        <v>9.1999999999999993</v>
      </c>
      <c r="C47" s="21" t="s">
        <v>95</v>
      </c>
      <c r="D47" s="21" t="s">
        <v>100</v>
      </c>
      <c r="E47" s="57" t="s">
        <v>97</v>
      </c>
      <c r="F47" s="26"/>
      <c r="G47" s="57" t="s">
        <v>76</v>
      </c>
      <c r="H47" s="26"/>
      <c r="I47" s="26"/>
      <c r="J47" s="26"/>
      <c r="K47" s="26"/>
      <c r="M47" s="19">
        <v>9.1999999999999993</v>
      </c>
    </row>
    <row r="48" spans="1:13" x14ac:dyDescent="0.25">
      <c r="A48" s="55"/>
      <c r="B48" s="56">
        <v>9.1999999999999993</v>
      </c>
      <c r="C48" s="21" t="s">
        <v>95</v>
      </c>
      <c r="D48" s="21" t="s">
        <v>100</v>
      </c>
      <c r="E48" s="57" t="s">
        <v>98</v>
      </c>
      <c r="F48" s="26"/>
      <c r="G48" s="57" t="s">
        <v>76</v>
      </c>
      <c r="H48" s="26"/>
      <c r="I48" s="26"/>
      <c r="J48" s="26"/>
      <c r="K48" s="26"/>
      <c r="M48" s="19">
        <v>9.3000000000000007</v>
      </c>
    </row>
    <row r="49" spans="1:13" x14ac:dyDescent="0.25">
      <c r="A49" s="55"/>
      <c r="B49" s="56">
        <v>9.1999999999999993</v>
      </c>
      <c r="C49" s="21" t="s">
        <v>95</v>
      </c>
      <c r="D49" s="21" t="s">
        <v>100</v>
      </c>
      <c r="E49" s="57" t="s">
        <v>99</v>
      </c>
      <c r="F49" s="26"/>
      <c r="G49" s="57" t="s">
        <v>76</v>
      </c>
      <c r="H49" s="26"/>
      <c r="I49" s="26"/>
      <c r="J49" s="26"/>
      <c r="K49" s="26"/>
      <c r="M49" s="19">
        <v>9.4</v>
      </c>
    </row>
    <row r="50" spans="1:13" x14ac:dyDescent="0.25">
      <c r="A50" s="55"/>
      <c r="B50" s="56">
        <v>9.1999999999999993</v>
      </c>
      <c r="C50" s="21" t="s">
        <v>95</v>
      </c>
      <c r="D50" s="21" t="s">
        <v>101</v>
      </c>
      <c r="E50" s="57" t="s">
        <v>97</v>
      </c>
      <c r="F50" s="26"/>
      <c r="G50" s="57" t="s">
        <v>76</v>
      </c>
      <c r="H50" s="26"/>
      <c r="I50" s="26"/>
      <c r="J50" s="26"/>
      <c r="K50" s="26"/>
      <c r="M50" s="19">
        <v>9.5</v>
      </c>
    </row>
    <row r="51" spans="1:13" x14ac:dyDescent="0.25">
      <c r="A51" s="55"/>
      <c r="B51" s="56">
        <v>9.1999999999999993</v>
      </c>
      <c r="C51" s="21" t="s">
        <v>95</v>
      </c>
      <c r="D51" s="21" t="s">
        <v>101</v>
      </c>
      <c r="E51" s="57" t="s">
        <v>98</v>
      </c>
      <c r="F51" s="26"/>
      <c r="G51" s="57" t="s">
        <v>76</v>
      </c>
      <c r="H51" s="26"/>
      <c r="I51" s="26"/>
      <c r="J51" s="26"/>
      <c r="K51" s="26"/>
      <c r="M51" s="19">
        <v>9.6</v>
      </c>
    </row>
    <row r="52" spans="1:13" x14ac:dyDescent="0.25">
      <c r="A52" s="55"/>
      <c r="B52" s="56">
        <v>9.1999999999999993</v>
      </c>
      <c r="C52" s="21" t="s">
        <v>95</v>
      </c>
      <c r="D52" s="21" t="s">
        <v>101</v>
      </c>
      <c r="E52" s="57" t="s">
        <v>99</v>
      </c>
      <c r="F52" s="26"/>
      <c r="G52" s="57" t="s">
        <v>76</v>
      </c>
      <c r="H52" s="26"/>
      <c r="I52" s="26"/>
      <c r="J52" s="26"/>
      <c r="K52" s="26"/>
      <c r="M52" s="19">
        <v>9.6999999999999993</v>
      </c>
    </row>
    <row r="53" spans="1:13" x14ac:dyDescent="0.25">
      <c r="A53" s="55"/>
      <c r="B53" s="56">
        <v>9.1999999999999993</v>
      </c>
      <c r="C53" s="21" t="s">
        <v>95</v>
      </c>
      <c r="D53" s="21" t="s">
        <v>102</v>
      </c>
      <c r="E53" s="57" t="s">
        <v>103</v>
      </c>
      <c r="F53" s="26"/>
      <c r="G53" s="57" t="s">
        <v>103</v>
      </c>
      <c r="H53" s="26"/>
      <c r="I53" s="26"/>
      <c r="J53" s="26"/>
      <c r="K53" s="26"/>
      <c r="M53" s="19">
        <v>9.8000000000000007</v>
      </c>
    </row>
    <row r="54" spans="1:13" x14ac:dyDescent="0.25">
      <c r="A54" s="55"/>
      <c r="B54" s="56" t="s">
        <v>104</v>
      </c>
      <c r="C54" s="21" t="s">
        <v>105</v>
      </c>
      <c r="D54" s="21" t="s">
        <v>106</v>
      </c>
      <c r="E54" s="57" t="s">
        <v>107</v>
      </c>
      <c r="F54" s="26"/>
      <c r="G54" s="57" t="s">
        <v>76</v>
      </c>
      <c r="H54" s="26"/>
      <c r="I54" s="26"/>
      <c r="J54" s="26"/>
      <c r="K54" s="26"/>
      <c r="M54" s="19">
        <v>9.9</v>
      </c>
    </row>
    <row r="55" spans="1:13" x14ac:dyDescent="0.25">
      <c r="A55" s="55"/>
      <c r="B55" s="56" t="s">
        <v>104</v>
      </c>
      <c r="C55" s="21" t="s">
        <v>105</v>
      </c>
      <c r="D55" s="21" t="s">
        <v>106</v>
      </c>
      <c r="E55" s="57" t="s">
        <v>108</v>
      </c>
      <c r="F55" s="26"/>
      <c r="G55" s="57" t="s">
        <v>76</v>
      </c>
      <c r="H55" s="26"/>
      <c r="I55" s="26"/>
      <c r="J55" s="26"/>
      <c r="K55" s="26"/>
      <c r="M55" s="19">
        <v>10</v>
      </c>
    </row>
    <row r="56" spans="1:13" x14ac:dyDescent="0.25">
      <c r="A56" s="55"/>
      <c r="B56" s="56" t="s">
        <v>104</v>
      </c>
      <c r="C56" s="21" t="s">
        <v>105</v>
      </c>
      <c r="D56" s="21" t="s">
        <v>106</v>
      </c>
      <c r="E56" s="57" t="s">
        <v>109</v>
      </c>
      <c r="F56" s="26"/>
      <c r="G56" s="57" t="s">
        <v>76</v>
      </c>
      <c r="H56" s="26"/>
      <c r="I56" s="26"/>
      <c r="J56" s="26"/>
      <c r="K56" s="26"/>
      <c r="M56" s="19" t="s">
        <v>523</v>
      </c>
    </row>
    <row r="57" spans="1:13" x14ac:dyDescent="0.25">
      <c r="A57" s="55"/>
      <c r="B57" s="56" t="s">
        <v>104</v>
      </c>
      <c r="C57" s="21" t="s">
        <v>105</v>
      </c>
      <c r="D57" s="21" t="s">
        <v>106</v>
      </c>
      <c r="E57" s="57" t="s">
        <v>110</v>
      </c>
      <c r="F57" s="26"/>
      <c r="G57" s="57" t="s">
        <v>76</v>
      </c>
      <c r="H57" s="26"/>
      <c r="I57" s="26"/>
      <c r="J57" s="26"/>
      <c r="K57" s="26"/>
      <c r="M57" s="19" t="s">
        <v>784</v>
      </c>
    </row>
    <row r="58" spans="1:13" x14ac:dyDescent="0.25">
      <c r="A58" s="55"/>
      <c r="B58" s="56" t="s">
        <v>104</v>
      </c>
      <c r="C58" s="21" t="s">
        <v>105</v>
      </c>
      <c r="D58" s="21" t="s">
        <v>111</v>
      </c>
      <c r="E58" s="57" t="s">
        <v>112</v>
      </c>
      <c r="F58" s="26"/>
      <c r="G58" s="57" t="s">
        <v>76</v>
      </c>
      <c r="H58" s="26"/>
      <c r="I58" s="26"/>
      <c r="J58" s="26"/>
      <c r="K58" s="26"/>
      <c r="M58" s="19" t="s">
        <v>1019</v>
      </c>
    </row>
    <row r="59" spans="1:13" x14ac:dyDescent="0.25">
      <c r="A59" s="55"/>
      <c r="B59" s="56" t="s">
        <v>104</v>
      </c>
      <c r="C59" s="21" t="s">
        <v>105</v>
      </c>
      <c r="D59" s="21" t="s">
        <v>111</v>
      </c>
      <c r="E59" s="57" t="s">
        <v>113</v>
      </c>
      <c r="F59" s="26"/>
      <c r="G59" s="57" t="s">
        <v>76</v>
      </c>
      <c r="H59" s="26"/>
      <c r="I59" s="26"/>
      <c r="J59" s="26"/>
      <c r="K59" s="26"/>
      <c r="M59" s="19" t="s">
        <v>1093</v>
      </c>
    </row>
    <row r="60" spans="1:13" x14ac:dyDescent="0.25">
      <c r="A60" s="55"/>
      <c r="B60" s="56" t="s">
        <v>104</v>
      </c>
      <c r="C60" s="21" t="s">
        <v>105</v>
      </c>
      <c r="D60" s="21" t="s">
        <v>111</v>
      </c>
      <c r="E60" s="57" t="s">
        <v>114</v>
      </c>
      <c r="F60" s="26"/>
      <c r="G60" s="57" t="s">
        <v>76</v>
      </c>
      <c r="H60" s="26"/>
      <c r="I60" s="26"/>
      <c r="J60" s="26"/>
      <c r="K60" s="26"/>
      <c r="M60" s="19" t="s">
        <v>1132</v>
      </c>
    </row>
    <row r="61" spans="1:13" x14ac:dyDescent="0.25">
      <c r="A61" s="55"/>
      <c r="B61" s="56" t="s">
        <v>104</v>
      </c>
      <c r="C61" s="21" t="s">
        <v>105</v>
      </c>
      <c r="D61" s="21" t="s">
        <v>115</v>
      </c>
      <c r="E61" s="57" t="s">
        <v>116</v>
      </c>
      <c r="F61" s="26"/>
      <c r="G61" s="57" t="s">
        <v>76</v>
      </c>
      <c r="H61" s="26"/>
      <c r="I61" s="26"/>
      <c r="J61" s="26"/>
      <c r="K61" s="26"/>
      <c r="M61" s="19" t="s">
        <v>1153</v>
      </c>
    </row>
    <row r="62" spans="1:13" x14ac:dyDescent="0.25">
      <c r="A62" s="55"/>
      <c r="B62" s="56" t="s">
        <v>104</v>
      </c>
      <c r="C62" s="21" t="s">
        <v>105</v>
      </c>
      <c r="D62" s="21" t="s">
        <v>115</v>
      </c>
      <c r="E62" s="57" t="s">
        <v>117</v>
      </c>
      <c r="F62" s="26"/>
      <c r="G62" s="57" t="s">
        <v>76</v>
      </c>
      <c r="H62" s="26"/>
      <c r="I62" s="26"/>
      <c r="J62" s="26"/>
      <c r="K62" s="26"/>
      <c r="M62" s="19" t="s">
        <v>1161</v>
      </c>
    </row>
    <row r="63" spans="1:13" x14ac:dyDescent="0.25">
      <c r="A63" s="55"/>
      <c r="B63" s="56" t="s">
        <v>104</v>
      </c>
      <c r="C63" s="21" t="s">
        <v>105</v>
      </c>
      <c r="D63" s="21" t="s">
        <v>115</v>
      </c>
      <c r="E63" s="57" t="s">
        <v>118</v>
      </c>
      <c r="F63" s="26"/>
      <c r="G63" s="57" t="s">
        <v>76</v>
      </c>
      <c r="H63" s="26"/>
      <c r="I63" s="26"/>
      <c r="J63" s="26"/>
      <c r="K63" s="26"/>
      <c r="M63" s="19" t="s">
        <v>1171</v>
      </c>
    </row>
    <row r="64" spans="1:13" x14ac:dyDescent="0.25">
      <c r="A64" s="55"/>
      <c r="B64" s="56" t="s">
        <v>104</v>
      </c>
      <c r="C64" s="21" t="s">
        <v>105</v>
      </c>
      <c r="D64" s="21" t="s">
        <v>119</v>
      </c>
      <c r="E64" s="57" t="s">
        <v>120</v>
      </c>
      <c r="F64" s="26"/>
      <c r="G64" s="57" t="s">
        <v>76</v>
      </c>
      <c r="H64" s="26"/>
      <c r="I64" s="26"/>
      <c r="J64" s="26"/>
      <c r="K64" s="26"/>
      <c r="M64" s="19" t="s">
        <v>1728</v>
      </c>
    </row>
    <row r="65" spans="1:13" x14ac:dyDescent="0.25">
      <c r="A65" s="55"/>
      <c r="B65" s="56" t="s">
        <v>104</v>
      </c>
      <c r="C65" s="21" t="s">
        <v>105</v>
      </c>
      <c r="D65" s="21" t="s">
        <v>119</v>
      </c>
      <c r="E65" s="57" t="s">
        <v>121</v>
      </c>
      <c r="F65" s="26"/>
      <c r="G65" s="57" t="s">
        <v>76</v>
      </c>
      <c r="H65" s="26"/>
      <c r="I65" s="26"/>
      <c r="J65" s="26"/>
      <c r="K65" s="26"/>
      <c r="M65" s="19" t="s">
        <v>841</v>
      </c>
    </row>
    <row r="66" spans="1:13" x14ac:dyDescent="0.25">
      <c r="A66" s="55"/>
      <c r="B66" s="56" t="s">
        <v>104</v>
      </c>
      <c r="C66" s="21" t="s">
        <v>105</v>
      </c>
      <c r="D66" s="21" t="s">
        <v>119</v>
      </c>
      <c r="E66" s="57" t="s">
        <v>122</v>
      </c>
      <c r="F66" s="26"/>
      <c r="G66" s="57" t="s">
        <v>76</v>
      </c>
      <c r="H66" s="26"/>
      <c r="I66" s="26"/>
      <c r="J66" s="26"/>
      <c r="K66" s="26"/>
      <c r="M66" s="19" t="s">
        <v>876</v>
      </c>
    </row>
    <row r="67" spans="1:13" x14ac:dyDescent="0.25">
      <c r="A67" s="55"/>
      <c r="B67" s="56" t="s">
        <v>104</v>
      </c>
      <c r="C67" s="21" t="s">
        <v>105</v>
      </c>
      <c r="D67" s="21" t="s">
        <v>119</v>
      </c>
      <c r="E67" s="57" t="s">
        <v>123</v>
      </c>
      <c r="F67" s="26"/>
      <c r="G67" s="57" t="s">
        <v>76</v>
      </c>
      <c r="H67" s="26"/>
      <c r="I67" s="26"/>
      <c r="J67" s="26"/>
      <c r="K67" s="26"/>
      <c r="M67" s="19" t="s">
        <v>885</v>
      </c>
    </row>
    <row r="68" spans="1:13" x14ac:dyDescent="0.25">
      <c r="A68" s="55"/>
      <c r="B68" s="56" t="s">
        <v>104</v>
      </c>
      <c r="C68" s="21" t="s">
        <v>105</v>
      </c>
      <c r="D68" s="22" t="s">
        <v>124</v>
      </c>
      <c r="E68" s="57" t="s">
        <v>125</v>
      </c>
      <c r="F68" s="26"/>
      <c r="G68" s="57" t="s">
        <v>126</v>
      </c>
      <c r="H68" s="26"/>
      <c r="I68" s="26"/>
      <c r="J68" s="26"/>
      <c r="K68" s="26"/>
      <c r="M68" s="19" t="s">
        <v>891</v>
      </c>
    </row>
    <row r="69" spans="1:13" x14ac:dyDescent="0.25">
      <c r="A69" s="55"/>
      <c r="B69" s="56" t="s">
        <v>104</v>
      </c>
      <c r="C69" s="21" t="s">
        <v>105</v>
      </c>
      <c r="D69" s="22" t="s">
        <v>124</v>
      </c>
      <c r="E69" s="57" t="s">
        <v>127</v>
      </c>
      <c r="F69" s="26"/>
      <c r="G69" s="57" t="s">
        <v>126</v>
      </c>
      <c r="H69" s="26"/>
      <c r="I69" s="26"/>
      <c r="J69" s="26"/>
      <c r="K69" s="26"/>
      <c r="M69" s="19" t="s">
        <v>970</v>
      </c>
    </row>
    <row r="70" spans="1:13" x14ac:dyDescent="0.25">
      <c r="A70" s="55"/>
      <c r="B70" s="56" t="s">
        <v>104</v>
      </c>
      <c r="C70" s="21" t="s">
        <v>105</v>
      </c>
      <c r="D70" s="22" t="s">
        <v>124</v>
      </c>
      <c r="E70" s="57" t="s">
        <v>128</v>
      </c>
      <c r="F70" s="26"/>
      <c r="G70" s="57" t="s">
        <v>126</v>
      </c>
      <c r="H70" s="26"/>
      <c r="I70" s="26"/>
      <c r="J70" s="26"/>
      <c r="K70" s="26"/>
      <c r="M70" s="19" t="s">
        <v>205</v>
      </c>
    </row>
    <row r="71" spans="1:13" x14ac:dyDescent="0.25">
      <c r="A71" s="55"/>
      <c r="B71" s="56" t="s">
        <v>104</v>
      </c>
      <c r="C71" s="21" t="s">
        <v>105</v>
      </c>
      <c r="D71" s="21" t="s">
        <v>129</v>
      </c>
      <c r="E71" s="57" t="s">
        <v>130</v>
      </c>
      <c r="F71" s="26"/>
      <c r="G71" s="57" t="s">
        <v>76</v>
      </c>
      <c r="H71" s="26"/>
      <c r="I71" s="26"/>
      <c r="J71" s="26"/>
      <c r="K71" s="26"/>
      <c r="M71" s="19" t="s">
        <v>104</v>
      </c>
    </row>
    <row r="72" spans="1:13" x14ac:dyDescent="0.25">
      <c r="A72" s="55"/>
      <c r="B72" s="56" t="s">
        <v>104</v>
      </c>
      <c r="C72" s="21" t="s">
        <v>105</v>
      </c>
      <c r="D72" s="21" t="s">
        <v>129</v>
      </c>
      <c r="E72" s="57" t="s">
        <v>131</v>
      </c>
      <c r="F72" s="26"/>
      <c r="G72" s="57" t="s">
        <v>76</v>
      </c>
      <c r="H72" s="26"/>
      <c r="I72" s="26"/>
      <c r="J72" s="26"/>
      <c r="K72" s="26"/>
      <c r="M72" s="19" t="s">
        <v>141</v>
      </c>
    </row>
    <row r="73" spans="1:13" x14ac:dyDescent="0.25">
      <c r="A73" s="55"/>
      <c r="B73" s="56" t="s">
        <v>104</v>
      </c>
      <c r="C73" s="21" t="s">
        <v>105</v>
      </c>
      <c r="D73" s="23" t="s">
        <v>132</v>
      </c>
      <c r="E73" s="57" t="s">
        <v>19</v>
      </c>
      <c r="F73" s="26"/>
      <c r="G73" s="57" t="s">
        <v>19</v>
      </c>
      <c r="H73" s="26"/>
      <c r="I73" s="26"/>
      <c r="J73" s="26"/>
      <c r="K73" s="26"/>
      <c r="M73" s="19" t="s">
        <v>159</v>
      </c>
    </row>
    <row r="74" spans="1:13" x14ac:dyDescent="0.25">
      <c r="A74" s="55"/>
      <c r="B74" s="56" t="s">
        <v>104</v>
      </c>
      <c r="C74" s="21" t="s">
        <v>105</v>
      </c>
      <c r="D74" s="21" t="s">
        <v>133</v>
      </c>
      <c r="E74" s="57" t="s">
        <v>134</v>
      </c>
      <c r="F74" s="26"/>
      <c r="G74" s="57" t="s">
        <v>39</v>
      </c>
      <c r="H74" s="44">
        <v>187560</v>
      </c>
      <c r="I74" s="26" t="s">
        <v>90</v>
      </c>
      <c r="J74" s="61">
        <v>42747</v>
      </c>
      <c r="K74" s="26"/>
      <c r="M74" s="19" t="s">
        <v>169</v>
      </c>
    </row>
    <row r="75" spans="1:13" x14ac:dyDescent="0.25">
      <c r="A75" s="55"/>
      <c r="B75" s="56" t="s">
        <v>104</v>
      </c>
      <c r="C75" s="21" t="s">
        <v>105</v>
      </c>
      <c r="D75" s="21" t="s">
        <v>133</v>
      </c>
      <c r="E75" s="57" t="s">
        <v>135</v>
      </c>
      <c r="F75" s="26"/>
      <c r="G75" s="57" t="s">
        <v>136</v>
      </c>
      <c r="H75" s="44">
        <v>187560</v>
      </c>
      <c r="I75" s="26" t="s">
        <v>90</v>
      </c>
      <c r="J75" s="61">
        <v>42747</v>
      </c>
      <c r="K75" s="26"/>
      <c r="M75" s="19" t="s">
        <v>1700</v>
      </c>
    </row>
    <row r="76" spans="1:13" x14ac:dyDescent="0.25">
      <c r="A76" s="55"/>
      <c r="B76" s="56" t="s">
        <v>104</v>
      </c>
      <c r="C76" s="21" t="s">
        <v>105</v>
      </c>
      <c r="D76" s="21" t="s">
        <v>133</v>
      </c>
      <c r="E76" s="57" t="s">
        <v>137</v>
      </c>
      <c r="F76" s="26"/>
      <c r="G76" s="57" t="s">
        <v>126</v>
      </c>
      <c r="H76" s="44"/>
      <c r="I76" s="26"/>
      <c r="J76" s="26"/>
      <c r="K76" s="26"/>
      <c r="M76" s="19" t="s">
        <v>1933</v>
      </c>
    </row>
    <row r="77" spans="1:13" x14ac:dyDescent="0.25">
      <c r="A77" s="55"/>
      <c r="B77" s="56" t="s">
        <v>104</v>
      </c>
      <c r="C77" s="21" t="s">
        <v>105</v>
      </c>
      <c r="D77" s="21" t="s">
        <v>138</v>
      </c>
      <c r="E77" s="57" t="s">
        <v>139</v>
      </c>
      <c r="F77" s="26"/>
      <c r="G77" s="57" t="s">
        <v>39</v>
      </c>
      <c r="H77" s="26"/>
      <c r="I77" s="26"/>
      <c r="J77" s="26"/>
      <c r="K77" s="26"/>
      <c r="M77" s="19" t="s">
        <v>1934</v>
      </c>
    </row>
    <row r="78" spans="1:13" x14ac:dyDescent="0.25">
      <c r="A78" s="55"/>
      <c r="B78" s="56" t="s">
        <v>104</v>
      </c>
      <c r="C78" s="21" t="s">
        <v>105</v>
      </c>
      <c r="D78" s="21" t="s">
        <v>138</v>
      </c>
      <c r="E78" s="57" t="s">
        <v>140</v>
      </c>
      <c r="F78" s="26"/>
      <c r="G78" s="57" t="s">
        <v>39</v>
      </c>
      <c r="H78" s="26"/>
      <c r="I78" s="26"/>
      <c r="J78" s="26"/>
      <c r="K78" s="26"/>
    </row>
    <row r="79" spans="1:13" x14ac:dyDescent="0.25">
      <c r="A79" s="55"/>
      <c r="B79" s="56" t="s">
        <v>141</v>
      </c>
      <c r="C79" s="21" t="s">
        <v>142</v>
      </c>
      <c r="D79" s="21" t="s">
        <v>106</v>
      </c>
      <c r="E79" s="57" t="s">
        <v>107</v>
      </c>
      <c r="F79" s="26"/>
      <c r="G79" s="57" t="s">
        <v>76</v>
      </c>
      <c r="H79" s="26"/>
      <c r="I79" s="26"/>
      <c r="J79" s="26"/>
      <c r="K79" s="26"/>
    </row>
    <row r="80" spans="1:13" x14ac:dyDescent="0.25">
      <c r="A80" s="55"/>
      <c r="B80" s="56" t="s">
        <v>141</v>
      </c>
      <c r="C80" s="21" t="s">
        <v>142</v>
      </c>
      <c r="D80" s="21" t="s">
        <v>106</v>
      </c>
      <c r="E80" s="57" t="s">
        <v>143</v>
      </c>
      <c r="F80" s="26"/>
      <c r="G80" s="57" t="s">
        <v>76</v>
      </c>
      <c r="H80" s="26"/>
      <c r="I80" s="26"/>
      <c r="J80" s="26"/>
      <c r="K80" s="26"/>
    </row>
    <row r="81" spans="1:11" x14ac:dyDescent="0.25">
      <c r="A81" s="55"/>
      <c r="B81" s="56" t="s">
        <v>141</v>
      </c>
      <c r="C81" s="21" t="s">
        <v>142</v>
      </c>
      <c r="D81" s="21" t="s">
        <v>106</v>
      </c>
      <c r="E81" s="57" t="s">
        <v>109</v>
      </c>
      <c r="F81" s="26"/>
      <c r="G81" s="57" t="s">
        <v>76</v>
      </c>
      <c r="H81" s="26"/>
      <c r="I81" s="26"/>
      <c r="J81" s="26"/>
      <c r="K81" s="26"/>
    </row>
    <row r="82" spans="1:11" x14ac:dyDescent="0.25">
      <c r="A82" s="55"/>
      <c r="B82" s="56" t="s">
        <v>141</v>
      </c>
      <c r="C82" s="21" t="s">
        <v>142</v>
      </c>
      <c r="D82" s="21" t="s">
        <v>106</v>
      </c>
      <c r="E82" s="57" t="s">
        <v>144</v>
      </c>
      <c r="F82" s="26"/>
      <c r="G82" s="57" t="s">
        <v>76</v>
      </c>
      <c r="H82" s="26"/>
      <c r="I82" s="26"/>
      <c r="J82" s="26"/>
      <c r="K82" s="26"/>
    </row>
    <row r="83" spans="1:11" x14ac:dyDescent="0.25">
      <c r="A83" s="55"/>
      <c r="B83" s="56" t="s">
        <v>141</v>
      </c>
      <c r="C83" s="21" t="s">
        <v>142</v>
      </c>
      <c r="D83" s="21" t="s">
        <v>111</v>
      </c>
      <c r="E83" s="57" t="s">
        <v>112</v>
      </c>
      <c r="F83" s="26"/>
      <c r="G83" s="57" t="s">
        <v>76</v>
      </c>
      <c r="H83" s="26"/>
      <c r="I83" s="26"/>
      <c r="J83" s="26"/>
      <c r="K83" s="26"/>
    </row>
    <row r="84" spans="1:11" x14ac:dyDescent="0.25">
      <c r="A84" s="55"/>
      <c r="B84" s="56" t="s">
        <v>141</v>
      </c>
      <c r="C84" s="21" t="s">
        <v>142</v>
      </c>
      <c r="D84" s="21" t="s">
        <v>111</v>
      </c>
      <c r="E84" s="57" t="s">
        <v>113</v>
      </c>
      <c r="F84" s="26"/>
      <c r="G84" s="57" t="s">
        <v>76</v>
      </c>
      <c r="H84" s="26"/>
      <c r="I84" s="26"/>
      <c r="J84" s="26"/>
      <c r="K84" s="26"/>
    </row>
    <row r="85" spans="1:11" x14ac:dyDescent="0.25">
      <c r="A85" s="55"/>
      <c r="B85" s="56" t="s">
        <v>141</v>
      </c>
      <c r="C85" s="21" t="s">
        <v>142</v>
      </c>
      <c r="D85" s="21" t="s">
        <v>111</v>
      </c>
      <c r="E85" s="57" t="s">
        <v>114</v>
      </c>
      <c r="F85" s="26"/>
      <c r="G85" s="57" t="s">
        <v>76</v>
      </c>
      <c r="H85" s="26"/>
      <c r="I85" s="26"/>
      <c r="J85" s="26"/>
      <c r="K85" s="26"/>
    </row>
    <row r="86" spans="1:11" x14ac:dyDescent="0.25">
      <c r="A86" s="55"/>
      <c r="B86" s="56" t="s">
        <v>141</v>
      </c>
      <c r="C86" s="21" t="s">
        <v>142</v>
      </c>
      <c r="D86" s="21" t="s">
        <v>115</v>
      </c>
      <c r="E86" s="57" t="s">
        <v>116</v>
      </c>
      <c r="F86" s="26"/>
      <c r="G86" s="57" t="s">
        <v>76</v>
      </c>
      <c r="H86" s="26"/>
      <c r="I86" s="26"/>
      <c r="J86" s="26"/>
      <c r="K86" s="26"/>
    </row>
    <row r="87" spans="1:11" x14ac:dyDescent="0.25">
      <c r="A87" s="55"/>
      <c r="B87" s="56" t="s">
        <v>141</v>
      </c>
      <c r="C87" s="21" t="s">
        <v>142</v>
      </c>
      <c r="D87" s="21" t="s">
        <v>115</v>
      </c>
      <c r="E87" s="57" t="s">
        <v>117</v>
      </c>
      <c r="F87" s="26"/>
      <c r="G87" s="57" t="s">
        <v>76</v>
      </c>
      <c r="H87" s="26"/>
      <c r="I87" s="26"/>
      <c r="J87" s="26"/>
      <c r="K87" s="26"/>
    </row>
    <row r="88" spans="1:11" x14ac:dyDescent="0.25">
      <c r="A88" s="55"/>
      <c r="B88" s="56" t="s">
        <v>141</v>
      </c>
      <c r="C88" s="21" t="s">
        <v>142</v>
      </c>
      <c r="D88" s="21" t="s">
        <v>115</v>
      </c>
      <c r="E88" s="57" t="s">
        <v>118</v>
      </c>
      <c r="F88" s="26"/>
      <c r="G88" s="57" t="s">
        <v>76</v>
      </c>
      <c r="H88" s="26"/>
      <c r="I88" s="26"/>
      <c r="J88" s="26"/>
      <c r="K88" s="26"/>
    </row>
    <row r="89" spans="1:11" x14ac:dyDescent="0.25">
      <c r="A89" s="55"/>
      <c r="B89" s="56" t="s">
        <v>141</v>
      </c>
      <c r="C89" s="21" t="s">
        <v>142</v>
      </c>
      <c r="D89" s="21" t="s">
        <v>145</v>
      </c>
      <c r="E89" s="57" t="s">
        <v>120</v>
      </c>
      <c r="F89" s="26"/>
      <c r="G89" s="57" t="s">
        <v>76</v>
      </c>
      <c r="H89" s="26"/>
      <c r="I89" s="26"/>
      <c r="J89" s="26"/>
      <c r="K89" s="26"/>
    </row>
    <row r="90" spans="1:11" x14ac:dyDescent="0.25">
      <c r="A90" s="55"/>
      <c r="B90" s="56" t="s">
        <v>141</v>
      </c>
      <c r="C90" s="21" t="s">
        <v>142</v>
      </c>
      <c r="D90" s="21" t="s">
        <v>145</v>
      </c>
      <c r="E90" s="57" t="s">
        <v>121</v>
      </c>
      <c r="F90" s="26"/>
      <c r="G90" s="57" t="s">
        <v>76</v>
      </c>
      <c r="H90" s="26"/>
      <c r="I90" s="26"/>
      <c r="J90" s="26"/>
      <c r="K90" s="26"/>
    </row>
    <row r="91" spans="1:11" x14ac:dyDescent="0.25">
      <c r="A91" s="55"/>
      <c r="B91" s="56" t="s">
        <v>141</v>
      </c>
      <c r="C91" s="21" t="s">
        <v>142</v>
      </c>
      <c r="D91" s="21" t="s">
        <v>145</v>
      </c>
      <c r="E91" s="57" t="s">
        <v>122</v>
      </c>
      <c r="F91" s="26"/>
      <c r="G91" s="57" t="s">
        <v>76</v>
      </c>
      <c r="H91" s="26"/>
      <c r="I91" s="26"/>
      <c r="J91" s="26"/>
      <c r="K91" s="26"/>
    </row>
    <row r="92" spans="1:11" x14ac:dyDescent="0.25">
      <c r="A92" s="55"/>
      <c r="B92" s="56" t="s">
        <v>141</v>
      </c>
      <c r="C92" s="21" t="s">
        <v>142</v>
      </c>
      <c r="D92" s="22" t="s">
        <v>124</v>
      </c>
      <c r="E92" s="57" t="s">
        <v>146</v>
      </c>
      <c r="F92" s="26"/>
      <c r="G92" s="57" t="s">
        <v>126</v>
      </c>
      <c r="H92" s="26"/>
      <c r="I92" s="26"/>
      <c r="J92" s="26"/>
      <c r="K92" s="26"/>
    </row>
    <row r="93" spans="1:11" x14ac:dyDescent="0.25">
      <c r="A93" s="55"/>
      <c r="B93" s="56" t="s">
        <v>141</v>
      </c>
      <c r="C93" s="21" t="s">
        <v>142</v>
      </c>
      <c r="D93" s="22" t="s">
        <v>124</v>
      </c>
      <c r="E93" s="57" t="s">
        <v>147</v>
      </c>
      <c r="F93" s="26"/>
      <c r="G93" s="57" t="s">
        <v>126</v>
      </c>
      <c r="H93" s="26"/>
      <c r="I93" s="26"/>
      <c r="J93" s="26"/>
      <c r="K93" s="26"/>
    </row>
    <row r="94" spans="1:11" x14ac:dyDescent="0.25">
      <c r="A94" s="55"/>
      <c r="B94" s="56" t="s">
        <v>141</v>
      </c>
      <c r="C94" s="21" t="s">
        <v>142</v>
      </c>
      <c r="D94" s="22" t="s">
        <v>124</v>
      </c>
      <c r="E94" s="57" t="s">
        <v>148</v>
      </c>
      <c r="F94" s="26"/>
      <c r="G94" s="57" t="s">
        <v>126</v>
      </c>
      <c r="H94" s="26"/>
      <c r="I94" s="26"/>
      <c r="J94" s="26"/>
      <c r="K94" s="26"/>
    </row>
    <row r="95" spans="1:11" x14ac:dyDescent="0.25">
      <c r="A95" s="55"/>
      <c r="B95" s="56" t="s">
        <v>141</v>
      </c>
      <c r="C95" s="21" t="s">
        <v>142</v>
      </c>
      <c r="D95" s="21" t="s">
        <v>149</v>
      </c>
      <c r="E95" s="57" t="s">
        <v>130</v>
      </c>
      <c r="F95" s="26"/>
      <c r="G95" s="57" t="s">
        <v>76</v>
      </c>
      <c r="H95" s="26"/>
      <c r="I95" s="26"/>
      <c r="J95" s="26"/>
      <c r="K95" s="26"/>
    </row>
    <row r="96" spans="1:11" x14ac:dyDescent="0.25">
      <c r="A96" s="55"/>
      <c r="B96" s="56" t="s">
        <v>141</v>
      </c>
      <c r="C96" s="21" t="s">
        <v>142</v>
      </c>
      <c r="D96" s="21" t="s">
        <v>149</v>
      </c>
      <c r="E96" s="57" t="s">
        <v>131</v>
      </c>
      <c r="F96" s="26"/>
      <c r="G96" s="57" t="s">
        <v>76</v>
      </c>
      <c r="H96" s="26"/>
      <c r="I96" s="26"/>
      <c r="J96" s="26"/>
      <c r="K96" s="26"/>
    </row>
    <row r="97" spans="1:11" x14ac:dyDescent="0.25">
      <c r="A97" s="55"/>
      <c r="B97" s="56" t="s">
        <v>141</v>
      </c>
      <c r="C97" s="21" t="s">
        <v>142</v>
      </c>
      <c r="D97" s="22" t="s">
        <v>150</v>
      </c>
      <c r="E97" s="57" t="s">
        <v>151</v>
      </c>
      <c r="F97" s="26"/>
      <c r="G97" s="57" t="s">
        <v>126</v>
      </c>
      <c r="H97" s="26"/>
      <c r="I97" s="26"/>
      <c r="J97" s="26"/>
      <c r="K97" s="26"/>
    </row>
    <row r="98" spans="1:11" x14ac:dyDescent="0.25">
      <c r="A98" s="55"/>
      <c r="B98" s="56" t="s">
        <v>141</v>
      </c>
      <c r="C98" s="21" t="s">
        <v>142</v>
      </c>
      <c r="D98" s="21" t="s">
        <v>152</v>
      </c>
      <c r="E98" s="57" t="s">
        <v>116</v>
      </c>
      <c r="F98" s="26"/>
      <c r="G98" s="57" t="s">
        <v>76</v>
      </c>
      <c r="H98" s="26"/>
      <c r="I98" s="26"/>
      <c r="J98" s="26"/>
      <c r="K98" s="26"/>
    </row>
    <row r="99" spans="1:11" x14ac:dyDescent="0.25">
      <c r="A99" s="55"/>
      <c r="B99" s="56" t="s">
        <v>141</v>
      </c>
      <c r="C99" s="21" t="s">
        <v>142</v>
      </c>
      <c r="D99" s="21" t="s">
        <v>152</v>
      </c>
      <c r="E99" s="57" t="s">
        <v>117</v>
      </c>
      <c r="F99" s="26"/>
      <c r="G99" s="57" t="s">
        <v>76</v>
      </c>
      <c r="H99" s="26"/>
      <c r="I99" s="26"/>
      <c r="J99" s="26"/>
      <c r="K99" s="26"/>
    </row>
    <row r="100" spans="1:11" x14ac:dyDescent="0.25">
      <c r="A100" s="55"/>
      <c r="B100" s="56" t="s">
        <v>141</v>
      </c>
      <c r="C100" s="21" t="s">
        <v>142</v>
      </c>
      <c r="D100" s="21" t="s">
        <v>153</v>
      </c>
      <c r="E100" s="57" t="s">
        <v>154</v>
      </c>
      <c r="F100" s="26"/>
      <c r="G100" s="57" t="s">
        <v>76</v>
      </c>
      <c r="H100" s="26"/>
      <c r="I100" s="26"/>
      <c r="J100" s="26"/>
      <c r="K100" s="26"/>
    </row>
    <row r="101" spans="1:11" x14ac:dyDescent="0.25">
      <c r="A101" s="55"/>
      <c r="B101" s="56" t="s">
        <v>141</v>
      </c>
      <c r="C101" s="21" t="s">
        <v>142</v>
      </c>
      <c r="D101" s="21" t="s">
        <v>153</v>
      </c>
      <c r="E101" s="57" t="s">
        <v>155</v>
      </c>
      <c r="F101" s="26"/>
      <c r="G101" s="57" t="s">
        <v>76</v>
      </c>
      <c r="H101" s="26"/>
      <c r="I101" s="26"/>
      <c r="J101" s="26"/>
      <c r="K101" s="26"/>
    </row>
    <row r="102" spans="1:11" x14ac:dyDescent="0.25">
      <c r="A102" s="55"/>
      <c r="B102" s="56" t="s">
        <v>141</v>
      </c>
      <c r="C102" s="21" t="s">
        <v>142</v>
      </c>
      <c r="D102" s="21" t="s">
        <v>153</v>
      </c>
      <c r="E102" s="57" t="s">
        <v>156</v>
      </c>
      <c r="F102" s="26"/>
      <c r="G102" s="57" t="s">
        <v>76</v>
      </c>
      <c r="H102" s="26"/>
      <c r="I102" s="26"/>
      <c r="J102" s="26"/>
      <c r="K102" s="26"/>
    </row>
    <row r="103" spans="1:11" x14ac:dyDescent="0.25">
      <c r="A103" s="55"/>
      <c r="B103" s="56" t="s">
        <v>141</v>
      </c>
      <c r="C103" s="21" t="s">
        <v>142</v>
      </c>
      <c r="D103" s="21" t="s">
        <v>153</v>
      </c>
      <c r="E103" s="57" t="s">
        <v>157</v>
      </c>
      <c r="F103" s="26"/>
      <c r="G103" s="57" t="s">
        <v>76</v>
      </c>
      <c r="H103" s="26"/>
      <c r="I103" s="26"/>
      <c r="J103" s="26"/>
      <c r="K103" s="26"/>
    </row>
    <row r="104" spans="1:11" x14ac:dyDescent="0.25">
      <c r="A104" s="55"/>
      <c r="B104" s="56" t="s">
        <v>141</v>
      </c>
      <c r="C104" s="21" t="s">
        <v>142</v>
      </c>
      <c r="D104" s="21" t="s">
        <v>153</v>
      </c>
      <c r="E104" s="57" t="s">
        <v>158</v>
      </c>
      <c r="F104" s="26"/>
      <c r="G104" s="57" t="s">
        <v>76</v>
      </c>
      <c r="H104" s="26"/>
      <c r="I104" s="26"/>
      <c r="J104" s="26"/>
      <c r="K104" s="26"/>
    </row>
    <row r="105" spans="1:11" x14ac:dyDescent="0.25">
      <c r="A105" s="55"/>
      <c r="B105" s="56" t="s">
        <v>159</v>
      </c>
      <c r="C105" s="21" t="s">
        <v>160</v>
      </c>
      <c r="D105" s="21" t="s">
        <v>106</v>
      </c>
      <c r="E105" s="57" t="s">
        <v>107</v>
      </c>
      <c r="F105" s="26"/>
      <c r="G105" s="57" t="s">
        <v>76</v>
      </c>
      <c r="H105" s="26"/>
      <c r="I105" s="26"/>
      <c r="J105" s="26"/>
      <c r="K105" s="26"/>
    </row>
    <row r="106" spans="1:11" x14ac:dyDescent="0.25">
      <c r="A106" s="55"/>
      <c r="B106" s="56" t="s">
        <v>159</v>
      </c>
      <c r="C106" s="21" t="s">
        <v>160</v>
      </c>
      <c r="D106" s="21" t="s">
        <v>106</v>
      </c>
      <c r="E106" s="57" t="s">
        <v>143</v>
      </c>
      <c r="F106" s="26"/>
      <c r="G106" s="57" t="s">
        <v>76</v>
      </c>
      <c r="H106" s="26"/>
      <c r="I106" s="26"/>
      <c r="J106" s="26"/>
      <c r="K106" s="26"/>
    </row>
    <row r="107" spans="1:11" x14ac:dyDescent="0.25">
      <c r="A107" s="55"/>
      <c r="B107" s="56" t="s">
        <v>159</v>
      </c>
      <c r="C107" s="21" t="s">
        <v>160</v>
      </c>
      <c r="D107" s="21" t="s">
        <v>106</v>
      </c>
      <c r="E107" s="57" t="s">
        <v>109</v>
      </c>
      <c r="F107" s="26"/>
      <c r="G107" s="57" t="s">
        <v>76</v>
      </c>
      <c r="H107" s="26"/>
      <c r="I107" s="26"/>
      <c r="J107" s="26"/>
      <c r="K107" s="26"/>
    </row>
    <row r="108" spans="1:11" x14ac:dyDescent="0.25">
      <c r="A108" s="55"/>
      <c r="B108" s="56" t="s">
        <v>159</v>
      </c>
      <c r="C108" s="21" t="s">
        <v>160</v>
      </c>
      <c r="D108" s="21" t="s">
        <v>106</v>
      </c>
      <c r="E108" s="57" t="s">
        <v>144</v>
      </c>
      <c r="F108" s="26"/>
      <c r="G108" s="57" t="s">
        <v>76</v>
      </c>
      <c r="H108" s="26"/>
      <c r="I108" s="26"/>
      <c r="J108" s="26"/>
      <c r="K108" s="26"/>
    </row>
    <row r="109" spans="1:11" x14ac:dyDescent="0.25">
      <c r="A109" s="55"/>
      <c r="B109" s="56" t="s">
        <v>159</v>
      </c>
      <c r="C109" s="21" t="s">
        <v>160</v>
      </c>
      <c r="D109" s="21" t="s">
        <v>111</v>
      </c>
      <c r="E109" s="57" t="s">
        <v>112</v>
      </c>
      <c r="F109" s="26"/>
      <c r="G109" s="57" t="s">
        <v>76</v>
      </c>
      <c r="H109" s="26"/>
      <c r="I109" s="26"/>
      <c r="J109" s="26"/>
      <c r="K109" s="26"/>
    </row>
    <row r="110" spans="1:11" x14ac:dyDescent="0.25">
      <c r="A110" s="55"/>
      <c r="B110" s="56" t="s">
        <v>159</v>
      </c>
      <c r="C110" s="21" t="s">
        <v>160</v>
      </c>
      <c r="D110" s="21" t="s">
        <v>111</v>
      </c>
      <c r="E110" s="57" t="s">
        <v>113</v>
      </c>
      <c r="F110" s="26"/>
      <c r="G110" s="57" t="s">
        <v>76</v>
      </c>
      <c r="H110" s="26"/>
      <c r="I110" s="26"/>
      <c r="J110" s="26"/>
      <c r="K110" s="26"/>
    </row>
    <row r="111" spans="1:11" x14ac:dyDescent="0.25">
      <c r="A111" s="55"/>
      <c r="B111" s="56" t="s">
        <v>159</v>
      </c>
      <c r="C111" s="21" t="s">
        <v>160</v>
      </c>
      <c r="D111" s="21" t="s">
        <v>111</v>
      </c>
      <c r="E111" s="57" t="s">
        <v>114</v>
      </c>
      <c r="F111" s="26"/>
      <c r="G111" s="57" t="s">
        <v>76</v>
      </c>
      <c r="H111" s="26"/>
      <c r="I111" s="26"/>
      <c r="J111" s="26"/>
      <c r="K111" s="26"/>
    </row>
    <row r="112" spans="1:11" x14ac:dyDescent="0.25">
      <c r="A112" s="55"/>
      <c r="B112" s="56" t="s">
        <v>159</v>
      </c>
      <c r="C112" s="21" t="s">
        <v>160</v>
      </c>
      <c r="D112" s="21" t="s">
        <v>115</v>
      </c>
      <c r="E112" s="57" t="s">
        <v>116</v>
      </c>
      <c r="F112" s="26"/>
      <c r="G112" s="57" t="s">
        <v>76</v>
      </c>
      <c r="H112" s="26"/>
      <c r="I112" s="26"/>
      <c r="J112" s="26"/>
      <c r="K112" s="26"/>
    </row>
    <row r="113" spans="1:11" x14ac:dyDescent="0.25">
      <c r="A113" s="55"/>
      <c r="B113" s="56" t="s">
        <v>159</v>
      </c>
      <c r="C113" s="21" t="s">
        <v>160</v>
      </c>
      <c r="D113" s="21" t="s">
        <v>115</v>
      </c>
      <c r="E113" s="57" t="s">
        <v>117</v>
      </c>
      <c r="F113" s="26"/>
      <c r="G113" s="57" t="s">
        <v>76</v>
      </c>
      <c r="H113" s="26"/>
      <c r="I113" s="26"/>
      <c r="J113" s="26"/>
      <c r="K113" s="26"/>
    </row>
    <row r="114" spans="1:11" x14ac:dyDescent="0.25">
      <c r="A114" s="55"/>
      <c r="B114" s="56" t="s">
        <v>159</v>
      </c>
      <c r="C114" s="21" t="s">
        <v>160</v>
      </c>
      <c r="D114" s="21" t="s">
        <v>115</v>
      </c>
      <c r="E114" s="57" t="s">
        <v>118</v>
      </c>
      <c r="F114" s="26"/>
      <c r="G114" s="57" t="s">
        <v>76</v>
      </c>
      <c r="H114" s="26"/>
      <c r="I114" s="26"/>
      <c r="J114" s="26"/>
      <c r="K114" s="26"/>
    </row>
    <row r="115" spans="1:11" x14ac:dyDescent="0.25">
      <c r="A115" s="55"/>
      <c r="B115" s="56" t="s">
        <v>159</v>
      </c>
      <c r="C115" s="21" t="s">
        <v>160</v>
      </c>
      <c r="D115" s="21" t="s">
        <v>119</v>
      </c>
      <c r="E115" s="57" t="s">
        <v>120</v>
      </c>
      <c r="F115" s="26"/>
      <c r="G115" s="57" t="s">
        <v>76</v>
      </c>
      <c r="H115" s="26"/>
      <c r="I115" s="26"/>
      <c r="J115" s="26"/>
      <c r="K115" s="26"/>
    </row>
    <row r="116" spans="1:11" x14ac:dyDescent="0.25">
      <c r="A116" s="55"/>
      <c r="B116" s="56" t="s">
        <v>159</v>
      </c>
      <c r="C116" s="21" t="s">
        <v>160</v>
      </c>
      <c r="D116" s="21" t="s">
        <v>119</v>
      </c>
      <c r="E116" s="57" t="s">
        <v>121</v>
      </c>
      <c r="F116" s="26"/>
      <c r="G116" s="57" t="s">
        <v>76</v>
      </c>
      <c r="H116" s="26"/>
      <c r="I116" s="26"/>
      <c r="J116" s="26"/>
      <c r="K116" s="26"/>
    </row>
    <row r="117" spans="1:11" x14ac:dyDescent="0.25">
      <c r="A117" s="55"/>
      <c r="B117" s="56" t="s">
        <v>159</v>
      </c>
      <c r="C117" s="21" t="s">
        <v>160</v>
      </c>
      <c r="D117" s="21" t="s">
        <v>119</v>
      </c>
      <c r="E117" s="57" t="s">
        <v>122</v>
      </c>
      <c r="F117" s="26"/>
      <c r="G117" s="57" t="s">
        <v>76</v>
      </c>
      <c r="H117" s="26"/>
      <c r="I117" s="26"/>
      <c r="J117" s="26"/>
      <c r="K117" s="26"/>
    </row>
    <row r="118" spans="1:11" x14ac:dyDescent="0.25">
      <c r="A118" s="55"/>
      <c r="B118" s="56" t="s">
        <v>159</v>
      </c>
      <c r="C118" s="21" t="s">
        <v>160</v>
      </c>
      <c r="D118" s="21" t="s">
        <v>119</v>
      </c>
      <c r="E118" s="57" t="s">
        <v>123</v>
      </c>
      <c r="F118" s="26"/>
      <c r="G118" s="57" t="s">
        <v>76</v>
      </c>
      <c r="H118" s="26"/>
      <c r="I118" s="26"/>
      <c r="J118" s="26"/>
      <c r="K118" s="26"/>
    </row>
    <row r="119" spans="1:11" x14ac:dyDescent="0.25">
      <c r="A119" s="55"/>
      <c r="B119" s="56" t="s">
        <v>159</v>
      </c>
      <c r="C119" s="21" t="s">
        <v>160</v>
      </c>
      <c r="D119" s="22" t="s">
        <v>124</v>
      </c>
      <c r="E119" s="57" t="s">
        <v>161</v>
      </c>
      <c r="F119" s="26"/>
      <c r="G119" s="57" t="s">
        <v>126</v>
      </c>
      <c r="H119" s="26"/>
      <c r="I119" s="26"/>
      <c r="J119" s="26"/>
      <c r="K119" s="26"/>
    </row>
    <row r="120" spans="1:11" x14ac:dyDescent="0.25">
      <c r="A120" s="55"/>
      <c r="B120" s="56" t="s">
        <v>159</v>
      </c>
      <c r="C120" s="21" t="s">
        <v>160</v>
      </c>
      <c r="D120" s="22" t="s">
        <v>124</v>
      </c>
      <c r="E120" s="57" t="s">
        <v>162</v>
      </c>
      <c r="F120" s="26"/>
      <c r="G120" s="57" t="s">
        <v>126</v>
      </c>
      <c r="H120" s="26"/>
      <c r="I120" s="26"/>
      <c r="J120" s="26"/>
      <c r="K120" s="26"/>
    </row>
    <row r="121" spans="1:11" x14ac:dyDescent="0.25">
      <c r="A121" s="55"/>
      <c r="B121" s="56" t="s">
        <v>159</v>
      </c>
      <c r="C121" s="21" t="s">
        <v>160</v>
      </c>
      <c r="D121" s="22" t="s">
        <v>124</v>
      </c>
      <c r="E121" s="57" t="s">
        <v>163</v>
      </c>
      <c r="F121" s="26"/>
      <c r="G121" s="57" t="s">
        <v>126</v>
      </c>
      <c r="H121" s="26"/>
      <c r="I121" s="26"/>
      <c r="J121" s="26"/>
      <c r="K121" s="26"/>
    </row>
    <row r="122" spans="1:11" x14ac:dyDescent="0.25">
      <c r="A122" s="55"/>
      <c r="B122" s="56" t="s">
        <v>159</v>
      </c>
      <c r="C122" s="21" t="s">
        <v>160</v>
      </c>
      <c r="D122" s="21" t="s">
        <v>129</v>
      </c>
      <c r="E122" s="57" t="s">
        <v>130</v>
      </c>
      <c r="F122" s="26"/>
      <c r="G122" s="57" t="s">
        <v>76</v>
      </c>
      <c r="H122" s="26"/>
      <c r="I122" s="26"/>
      <c r="J122" s="26"/>
      <c r="K122" s="26"/>
    </row>
    <row r="123" spans="1:11" x14ac:dyDescent="0.25">
      <c r="A123" s="55"/>
      <c r="B123" s="56" t="s">
        <v>159</v>
      </c>
      <c r="C123" s="21" t="s">
        <v>160</v>
      </c>
      <c r="D123" s="21" t="s">
        <v>129</v>
      </c>
      <c r="E123" s="57" t="s">
        <v>131</v>
      </c>
      <c r="F123" s="26"/>
      <c r="G123" s="57" t="s">
        <v>76</v>
      </c>
      <c r="H123" s="26"/>
      <c r="I123" s="26"/>
      <c r="J123" s="26"/>
      <c r="K123" s="26"/>
    </row>
    <row r="124" spans="1:11" x14ac:dyDescent="0.25">
      <c r="A124" s="55"/>
      <c r="B124" s="56" t="s">
        <v>159</v>
      </c>
      <c r="C124" s="21" t="s">
        <v>160</v>
      </c>
      <c r="D124" s="23" t="s">
        <v>164</v>
      </c>
      <c r="E124" s="57" t="s">
        <v>19</v>
      </c>
      <c r="F124" s="26"/>
      <c r="G124" s="57" t="s">
        <v>19</v>
      </c>
      <c r="H124" s="26"/>
      <c r="I124" s="26"/>
      <c r="J124" s="26"/>
      <c r="K124" s="26"/>
    </row>
    <row r="125" spans="1:11" ht="15.75" x14ac:dyDescent="0.25">
      <c r="A125" s="55"/>
      <c r="B125" s="56" t="s">
        <v>159</v>
      </c>
      <c r="C125" s="21" t="s">
        <v>160</v>
      </c>
      <c r="D125" s="21" t="s">
        <v>133</v>
      </c>
      <c r="E125" s="57" t="s">
        <v>165</v>
      </c>
      <c r="F125" s="26" t="s">
        <v>166</v>
      </c>
      <c r="G125" s="57" t="s">
        <v>136</v>
      </c>
      <c r="H125" s="62">
        <v>187560</v>
      </c>
      <c r="I125" s="26" t="s">
        <v>90</v>
      </c>
      <c r="J125" s="61">
        <v>42747</v>
      </c>
      <c r="K125" s="26"/>
    </row>
    <row r="126" spans="1:11" ht="15.75" x14ac:dyDescent="0.25">
      <c r="A126" s="55"/>
      <c r="B126" s="56" t="s">
        <v>159</v>
      </c>
      <c r="C126" s="21" t="s">
        <v>160</v>
      </c>
      <c r="D126" s="21" t="s">
        <v>133</v>
      </c>
      <c r="E126" s="57" t="s">
        <v>167</v>
      </c>
      <c r="F126" s="26"/>
      <c r="G126" s="57" t="s">
        <v>136</v>
      </c>
      <c r="H126" s="62">
        <v>187560</v>
      </c>
      <c r="I126" s="26" t="s">
        <v>90</v>
      </c>
      <c r="J126" s="61">
        <v>42747</v>
      </c>
      <c r="K126" s="26"/>
    </row>
    <row r="127" spans="1:11" ht="15.75" x14ac:dyDescent="0.25">
      <c r="A127" s="55"/>
      <c r="B127" s="56" t="s">
        <v>159</v>
      </c>
      <c r="C127" s="21" t="s">
        <v>160</v>
      </c>
      <c r="D127" s="21" t="s">
        <v>133</v>
      </c>
      <c r="E127" s="57" t="s">
        <v>168</v>
      </c>
      <c r="F127" s="26"/>
      <c r="G127" s="57" t="s">
        <v>136</v>
      </c>
      <c r="H127" s="62">
        <v>187560</v>
      </c>
      <c r="I127" s="26" t="s">
        <v>90</v>
      </c>
      <c r="J127" s="61">
        <v>42747</v>
      </c>
      <c r="K127" s="26"/>
    </row>
    <row r="128" spans="1:11" x14ac:dyDescent="0.25">
      <c r="A128" s="55"/>
      <c r="B128" s="56" t="s">
        <v>169</v>
      </c>
      <c r="C128" s="21" t="s">
        <v>170</v>
      </c>
      <c r="D128" s="21" t="s">
        <v>106</v>
      </c>
      <c r="E128" s="57" t="s">
        <v>107</v>
      </c>
      <c r="F128" s="26"/>
      <c r="G128" s="57" t="s">
        <v>76</v>
      </c>
      <c r="H128" s="26"/>
      <c r="I128" s="26"/>
      <c r="J128" s="26"/>
      <c r="K128" s="26"/>
    </row>
    <row r="129" spans="1:11" x14ac:dyDescent="0.25">
      <c r="A129" s="55"/>
      <c r="B129" s="56" t="s">
        <v>169</v>
      </c>
      <c r="C129" s="21" t="s">
        <v>170</v>
      </c>
      <c r="D129" s="21" t="s">
        <v>106</v>
      </c>
      <c r="E129" s="57" t="s">
        <v>143</v>
      </c>
      <c r="F129" s="26"/>
      <c r="G129" s="57" t="s">
        <v>76</v>
      </c>
      <c r="H129" s="26"/>
      <c r="I129" s="26"/>
      <c r="J129" s="26"/>
      <c r="K129" s="26"/>
    </row>
    <row r="130" spans="1:11" x14ac:dyDescent="0.25">
      <c r="A130" s="55"/>
      <c r="B130" s="56" t="s">
        <v>169</v>
      </c>
      <c r="C130" s="21" t="s">
        <v>170</v>
      </c>
      <c r="D130" s="21" t="s">
        <v>106</v>
      </c>
      <c r="E130" s="57" t="s">
        <v>109</v>
      </c>
      <c r="F130" s="26"/>
      <c r="G130" s="57" t="s">
        <v>76</v>
      </c>
      <c r="H130" s="26"/>
      <c r="I130" s="26"/>
      <c r="J130" s="26"/>
      <c r="K130" s="26"/>
    </row>
    <row r="131" spans="1:11" x14ac:dyDescent="0.25">
      <c r="A131" s="55"/>
      <c r="B131" s="56" t="s">
        <v>169</v>
      </c>
      <c r="C131" s="21" t="s">
        <v>170</v>
      </c>
      <c r="D131" s="21" t="s">
        <v>106</v>
      </c>
      <c r="E131" s="57" t="s">
        <v>144</v>
      </c>
      <c r="F131" s="26"/>
      <c r="G131" s="57" t="s">
        <v>76</v>
      </c>
      <c r="H131" s="26"/>
      <c r="I131" s="26"/>
      <c r="J131" s="26"/>
      <c r="K131" s="26"/>
    </row>
    <row r="132" spans="1:11" x14ac:dyDescent="0.25">
      <c r="A132" s="55"/>
      <c r="B132" s="56" t="s">
        <v>169</v>
      </c>
      <c r="C132" s="21" t="s">
        <v>170</v>
      </c>
      <c r="D132" s="21" t="s">
        <v>111</v>
      </c>
      <c r="E132" s="57" t="s">
        <v>112</v>
      </c>
      <c r="F132" s="26"/>
      <c r="G132" s="57" t="s">
        <v>76</v>
      </c>
      <c r="H132" s="26"/>
      <c r="I132" s="26"/>
      <c r="J132" s="26"/>
      <c r="K132" s="26"/>
    </row>
    <row r="133" spans="1:11" x14ac:dyDescent="0.25">
      <c r="A133" s="55"/>
      <c r="B133" s="56" t="s">
        <v>169</v>
      </c>
      <c r="C133" s="21" t="s">
        <v>170</v>
      </c>
      <c r="D133" s="21" t="s">
        <v>111</v>
      </c>
      <c r="E133" s="57" t="s">
        <v>113</v>
      </c>
      <c r="F133" s="26"/>
      <c r="G133" s="57" t="s">
        <v>76</v>
      </c>
      <c r="H133" s="26"/>
      <c r="I133" s="26"/>
      <c r="J133" s="26"/>
      <c r="K133" s="26"/>
    </row>
    <row r="134" spans="1:11" x14ac:dyDescent="0.25">
      <c r="A134" s="55"/>
      <c r="B134" s="56" t="s">
        <v>169</v>
      </c>
      <c r="C134" s="21" t="s">
        <v>170</v>
      </c>
      <c r="D134" s="21" t="s">
        <v>111</v>
      </c>
      <c r="E134" s="57" t="s">
        <v>114</v>
      </c>
      <c r="F134" s="26"/>
      <c r="G134" s="57" t="s">
        <v>76</v>
      </c>
      <c r="H134" s="26"/>
      <c r="I134" s="26"/>
      <c r="J134" s="26"/>
      <c r="K134" s="26"/>
    </row>
    <row r="135" spans="1:11" x14ac:dyDescent="0.25">
      <c r="A135" s="55"/>
      <c r="B135" s="56" t="s">
        <v>169</v>
      </c>
      <c r="C135" s="21" t="s">
        <v>170</v>
      </c>
      <c r="D135" s="21" t="s">
        <v>115</v>
      </c>
      <c r="E135" s="57" t="s">
        <v>116</v>
      </c>
      <c r="F135" s="26"/>
      <c r="G135" s="57" t="s">
        <v>76</v>
      </c>
      <c r="H135" s="26"/>
      <c r="I135" s="26"/>
      <c r="J135" s="26"/>
      <c r="K135" s="26"/>
    </row>
    <row r="136" spans="1:11" x14ac:dyDescent="0.25">
      <c r="A136" s="55"/>
      <c r="B136" s="56" t="s">
        <v>169</v>
      </c>
      <c r="C136" s="21" t="s">
        <v>170</v>
      </c>
      <c r="D136" s="21" t="s">
        <v>115</v>
      </c>
      <c r="E136" s="57" t="s">
        <v>117</v>
      </c>
      <c r="F136" s="26"/>
      <c r="G136" s="57" t="s">
        <v>76</v>
      </c>
      <c r="H136" s="26"/>
      <c r="I136" s="26"/>
      <c r="J136" s="26"/>
      <c r="K136" s="26"/>
    </row>
    <row r="137" spans="1:11" x14ac:dyDescent="0.25">
      <c r="A137" s="55"/>
      <c r="B137" s="56" t="s">
        <v>169</v>
      </c>
      <c r="C137" s="21" t="s">
        <v>170</v>
      </c>
      <c r="D137" s="21" t="s">
        <v>115</v>
      </c>
      <c r="E137" s="57" t="s">
        <v>118</v>
      </c>
      <c r="F137" s="26"/>
      <c r="G137" s="57" t="s">
        <v>76</v>
      </c>
      <c r="H137" s="26"/>
      <c r="I137" s="26"/>
      <c r="J137" s="26"/>
      <c r="K137" s="26"/>
    </row>
    <row r="138" spans="1:11" x14ac:dyDescent="0.25">
      <c r="A138" s="55"/>
      <c r="B138" s="56" t="s">
        <v>169</v>
      </c>
      <c r="C138" s="21" t="s">
        <v>170</v>
      </c>
      <c r="D138" s="21" t="s">
        <v>171</v>
      </c>
      <c r="E138" s="57" t="s">
        <v>120</v>
      </c>
      <c r="F138" s="26"/>
      <c r="G138" s="57" t="s">
        <v>76</v>
      </c>
      <c r="H138" s="26"/>
      <c r="I138" s="26"/>
      <c r="J138" s="26"/>
      <c r="K138" s="26"/>
    </row>
    <row r="139" spans="1:11" x14ac:dyDescent="0.25">
      <c r="A139" s="55"/>
      <c r="B139" s="56" t="s">
        <v>169</v>
      </c>
      <c r="C139" s="21" t="s">
        <v>170</v>
      </c>
      <c r="D139" s="21" t="s">
        <v>171</v>
      </c>
      <c r="E139" s="57" t="s">
        <v>121</v>
      </c>
      <c r="F139" s="26"/>
      <c r="G139" s="57" t="s">
        <v>76</v>
      </c>
      <c r="H139" s="26"/>
      <c r="I139" s="26"/>
      <c r="J139" s="26"/>
      <c r="K139" s="26"/>
    </row>
    <row r="140" spans="1:11" x14ac:dyDescent="0.25">
      <c r="A140" s="55"/>
      <c r="B140" s="56" t="s">
        <v>169</v>
      </c>
      <c r="C140" s="21" t="s">
        <v>170</v>
      </c>
      <c r="D140" s="21" t="s">
        <v>171</v>
      </c>
      <c r="E140" s="57" t="s">
        <v>122</v>
      </c>
      <c r="F140" s="26"/>
      <c r="G140" s="57" t="s">
        <v>76</v>
      </c>
      <c r="H140" s="26"/>
      <c r="I140" s="26"/>
      <c r="J140" s="26"/>
      <c r="K140" s="26"/>
    </row>
    <row r="141" spans="1:11" x14ac:dyDescent="0.25">
      <c r="A141" s="55"/>
      <c r="B141" s="56" t="s">
        <v>169</v>
      </c>
      <c r="C141" s="21" t="s">
        <v>170</v>
      </c>
      <c r="D141" s="22" t="s">
        <v>124</v>
      </c>
      <c r="E141" s="57" t="s">
        <v>172</v>
      </c>
      <c r="F141" s="26"/>
      <c r="G141" s="57" t="s">
        <v>126</v>
      </c>
      <c r="H141" s="26"/>
      <c r="I141" s="26"/>
      <c r="J141" s="26"/>
      <c r="K141" s="26"/>
    </row>
    <row r="142" spans="1:11" x14ac:dyDescent="0.25">
      <c r="A142" s="55"/>
      <c r="B142" s="56" t="s">
        <v>169</v>
      </c>
      <c r="C142" s="21" t="s">
        <v>170</v>
      </c>
      <c r="D142" s="22" t="s">
        <v>124</v>
      </c>
      <c r="E142" s="57" t="s">
        <v>173</v>
      </c>
      <c r="F142" s="26"/>
      <c r="G142" s="57" t="s">
        <v>126</v>
      </c>
      <c r="H142" s="26"/>
      <c r="I142" s="26"/>
      <c r="J142" s="26"/>
      <c r="K142" s="26"/>
    </row>
    <row r="143" spans="1:11" x14ac:dyDescent="0.25">
      <c r="A143" s="55"/>
      <c r="B143" s="56" t="s">
        <v>169</v>
      </c>
      <c r="C143" s="21" t="s">
        <v>170</v>
      </c>
      <c r="D143" s="21" t="s">
        <v>129</v>
      </c>
      <c r="E143" s="57" t="s">
        <v>130</v>
      </c>
      <c r="F143" s="26"/>
      <c r="G143" s="57" t="s">
        <v>76</v>
      </c>
      <c r="H143" s="26"/>
      <c r="I143" s="26"/>
      <c r="J143" s="26"/>
      <c r="K143" s="26"/>
    </row>
    <row r="144" spans="1:11" x14ac:dyDescent="0.25">
      <c r="A144" s="55"/>
      <c r="B144" s="56" t="s">
        <v>169</v>
      </c>
      <c r="C144" s="21" t="s">
        <v>170</v>
      </c>
      <c r="D144" s="21" t="s">
        <v>129</v>
      </c>
      <c r="E144" s="57" t="s">
        <v>131</v>
      </c>
      <c r="F144" s="26"/>
      <c r="G144" s="57" t="s">
        <v>76</v>
      </c>
      <c r="H144" s="26"/>
      <c r="I144" s="26"/>
      <c r="J144" s="26"/>
      <c r="K144" s="26"/>
    </row>
    <row r="145" spans="1:11" x14ac:dyDescent="0.25">
      <c r="A145" s="55"/>
      <c r="B145" s="56" t="s">
        <v>169</v>
      </c>
      <c r="C145" s="21" t="s">
        <v>170</v>
      </c>
      <c r="D145" s="22" t="s">
        <v>174</v>
      </c>
      <c r="E145" s="57" t="s">
        <v>175</v>
      </c>
      <c r="F145" s="26"/>
      <c r="G145" s="57" t="s">
        <v>126</v>
      </c>
      <c r="H145" s="26"/>
      <c r="I145" s="26"/>
      <c r="J145" s="26"/>
      <c r="K145" s="26"/>
    </row>
    <row r="146" spans="1:11" x14ac:dyDescent="0.25">
      <c r="A146" s="55"/>
      <c r="B146" s="56">
        <v>9.4</v>
      </c>
      <c r="C146" s="21" t="s">
        <v>176</v>
      </c>
      <c r="D146" s="21" t="s">
        <v>177</v>
      </c>
      <c r="E146" s="57" t="s">
        <v>178</v>
      </c>
      <c r="F146" s="26"/>
      <c r="G146" s="57" t="s">
        <v>76</v>
      </c>
      <c r="H146" s="26"/>
      <c r="I146" s="26"/>
      <c r="J146" s="26"/>
      <c r="K146" s="26"/>
    </row>
    <row r="147" spans="1:11" x14ac:dyDescent="0.25">
      <c r="A147" s="55"/>
      <c r="B147" s="56">
        <v>9.4</v>
      </c>
      <c r="C147" s="21" t="s">
        <v>176</v>
      </c>
      <c r="D147" s="21" t="s">
        <v>177</v>
      </c>
      <c r="E147" s="57" t="s">
        <v>179</v>
      </c>
      <c r="F147" s="26"/>
      <c r="G147" s="57" t="s">
        <v>76</v>
      </c>
      <c r="H147" s="26"/>
      <c r="I147" s="26"/>
      <c r="J147" s="26"/>
      <c r="K147" s="26"/>
    </row>
    <row r="148" spans="1:11" x14ac:dyDescent="0.25">
      <c r="A148" s="55"/>
      <c r="B148" s="56">
        <v>9.4</v>
      </c>
      <c r="C148" s="21" t="s">
        <v>176</v>
      </c>
      <c r="D148" s="21" t="s">
        <v>177</v>
      </c>
      <c r="E148" s="57" t="s">
        <v>180</v>
      </c>
      <c r="F148" s="26"/>
      <c r="G148" s="57" t="s">
        <v>76</v>
      </c>
      <c r="H148" s="26"/>
      <c r="I148" s="26"/>
      <c r="J148" s="26"/>
      <c r="K148" s="26"/>
    </row>
    <row r="149" spans="1:11" x14ac:dyDescent="0.25">
      <c r="A149" s="55"/>
      <c r="B149" s="56">
        <v>9.4</v>
      </c>
      <c r="C149" s="21" t="s">
        <v>176</v>
      </c>
      <c r="D149" s="21" t="s">
        <v>177</v>
      </c>
      <c r="E149" s="57" t="s">
        <v>181</v>
      </c>
      <c r="F149" s="26"/>
      <c r="G149" s="57" t="s">
        <v>76</v>
      </c>
      <c r="H149" s="26"/>
      <c r="I149" s="26"/>
      <c r="J149" s="26"/>
      <c r="K149" s="26"/>
    </row>
    <row r="150" spans="1:11" x14ac:dyDescent="0.25">
      <c r="A150" s="55"/>
      <c r="B150" s="56">
        <v>9.5</v>
      </c>
      <c r="C150" s="21" t="s">
        <v>182</v>
      </c>
      <c r="D150" s="21" t="s">
        <v>183</v>
      </c>
      <c r="E150" s="57" t="s">
        <v>184</v>
      </c>
      <c r="F150" s="26"/>
      <c r="G150" s="57" t="s">
        <v>76</v>
      </c>
      <c r="H150" s="26"/>
      <c r="I150" s="26"/>
      <c r="J150" s="26"/>
      <c r="K150" s="26"/>
    </row>
    <row r="151" spans="1:11" x14ac:dyDescent="0.25">
      <c r="A151" s="55"/>
      <c r="B151" s="56">
        <v>9.6</v>
      </c>
      <c r="C151" s="21" t="s">
        <v>185</v>
      </c>
      <c r="D151" s="21" t="s">
        <v>186</v>
      </c>
      <c r="E151" s="57" t="s">
        <v>187</v>
      </c>
      <c r="F151" s="26"/>
      <c r="G151" s="57" t="s">
        <v>76</v>
      </c>
      <c r="H151" s="26"/>
      <c r="I151" s="26"/>
      <c r="J151" s="26"/>
      <c r="K151" s="26"/>
    </row>
    <row r="152" spans="1:11" x14ac:dyDescent="0.25">
      <c r="A152" s="55"/>
      <c r="B152" s="56">
        <v>9.6</v>
      </c>
      <c r="C152" s="21" t="s">
        <v>185</v>
      </c>
      <c r="D152" s="21" t="s">
        <v>186</v>
      </c>
      <c r="E152" s="57" t="s">
        <v>188</v>
      </c>
      <c r="F152" s="26"/>
      <c r="G152" s="57" t="s">
        <v>76</v>
      </c>
      <c r="H152" s="26"/>
      <c r="I152" s="26"/>
      <c r="J152" s="26"/>
      <c r="K152" s="26"/>
    </row>
    <row r="153" spans="1:11" x14ac:dyDescent="0.25">
      <c r="A153" s="55"/>
      <c r="B153" s="56">
        <v>9.6</v>
      </c>
      <c r="C153" s="21" t="s">
        <v>185</v>
      </c>
      <c r="D153" s="21" t="s">
        <v>186</v>
      </c>
      <c r="E153" s="57" t="s">
        <v>189</v>
      </c>
      <c r="F153" s="26"/>
      <c r="G153" s="57" t="s">
        <v>76</v>
      </c>
      <c r="H153" s="26"/>
      <c r="I153" s="26"/>
      <c r="J153" s="26"/>
      <c r="K153" s="26"/>
    </row>
    <row r="154" spans="1:11" x14ac:dyDescent="0.25">
      <c r="A154" s="55"/>
      <c r="B154" s="56">
        <v>9.6</v>
      </c>
      <c r="C154" s="21" t="s">
        <v>185</v>
      </c>
      <c r="D154" s="21" t="s">
        <v>186</v>
      </c>
      <c r="E154" s="57" t="s">
        <v>190</v>
      </c>
      <c r="F154" s="26"/>
      <c r="G154" s="57" t="s">
        <v>76</v>
      </c>
      <c r="H154" s="26"/>
      <c r="I154" s="26"/>
      <c r="J154" s="26"/>
      <c r="K154" s="26"/>
    </row>
    <row r="155" spans="1:11" x14ac:dyDescent="0.25">
      <c r="A155" s="55"/>
      <c r="B155" s="56">
        <v>9.6</v>
      </c>
      <c r="C155" s="21" t="s">
        <v>185</v>
      </c>
      <c r="D155" s="21" t="s">
        <v>186</v>
      </c>
      <c r="E155" s="57" t="s">
        <v>191</v>
      </c>
      <c r="F155" s="26"/>
      <c r="G155" s="57" t="s">
        <v>76</v>
      </c>
      <c r="H155" s="59">
        <v>185550</v>
      </c>
      <c r="I155" s="26"/>
      <c r="J155" s="26"/>
      <c r="K155" s="26"/>
    </row>
    <row r="156" spans="1:11" x14ac:dyDescent="0.25">
      <c r="A156" s="55"/>
      <c r="B156" s="56">
        <v>9.6999999999999993</v>
      </c>
      <c r="C156" s="21" t="s">
        <v>192</v>
      </c>
      <c r="D156" s="21" t="s">
        <v>193</v>
      </c>
      <c r="E156" s="57" t="s">
        <v>194</v>
      </c>
      <c r="F156" s="26"/>
      <c r="G156" s="57" t="s">
        <v>76</v>
      </c>
      <c r="H156" s="26"/>
      <c r="I156" s="26"/>
      <c r="J156" s="26"/>
      <c r="K156" s="26"/>
    </row>
    <row r="157" spans="1:11" x14ac:dyDescent="0.25">
      <c r="A157" s="55"/>
      <c r="B157" s="56">
        <v>9.6999999999999993</v>
      </c>
      <c r="C157" s="21" t="s">
        <v>192</v>
      </c>
      <c r="D157" s="21" t="s">
        <v>193</v>
      </c>
      <c r="E157" s="57" t="s">
        <v>195</v>
      </c>
      <c r="F157" s="26"/>
      <c r="G157" s="57" t="s">
        <v>76</v>
      </c>
      <c r="H157" s="26"/>
      <c r="I157" s="26"/>
      <c r="J157" s="26"/>
      <c r="K157" s="26"/>
    </row>
    <row r="158" spans="1:11" x14ac:dyDescent="0.25">
      <c r="A158" s="55"/>
      <c r="B158" s="56">
        <v>9.6999999999999993</v>
      </c>
      <c r="C158" s="21" t="s">
        <v>192</v>
      </c>
      <c r="D158" s="21" t="s">
        <v>193</v>
      </c>
      <c r="E158" s="57" t="s">
        <v>196</v>
      </c>
      <c r="F158" s="26"/>
      <c r="G158" s="57" t="s">
        <v>76</v>
      </c>
      <c r="H158" s="26"/>
      <c r="I158" s="26"/>
      <c r="J158" s="26"/>
      <c r="K158" s="26"/>
    </row>
    <row r="159" spans="1:11" x14ac:dyDescent="0.25">
      <c r="A159" s="55"/>
      <c r="B159" s="56">
        <v>9.6999999999999993</v>
      </c>
      <c r="C159" s="21" t="s">
        <v>192</v>
      </c>
      <c r="D159" s="21" t="s">
        <v>197</v>
      </c>
      <c r="E159" s="57" t="s">
        <v>19</v>
      </c>
      <c r="F159" s="26"/>
      <c r="G159" s="57" t="s">
        <v>19</v>
      </c>
      <c r="H159" s="26"/>
      <c r="I159" s="26"/>
      <c r="J159" s="26"/>
      <c r="K159" s="26"/>
    </row>
    <row r="160" spans="1:11" x14ac:dyDescent="0.25">
      <c r="A160" s="55"/>
      <c r="B160" s="56">
        <v>9.8000000000000007</v>
      </c>
      <c r="C160" s="21" t="s">
        <v>198</v>
      </c>
      <c r="D160" s="21" t="s">
        <v>199</v>
      </c>
      <c r="E160" s="57" t="s">
        <v>103</v>
      </c>
      <c r="F160" s="26"/>
      <c r="G160" s="57" t="s">
        <v>103</v>
      </c>
      <c r="H160" s="26"/>
      <c r="I160" s="26"/>
      <c r="J160" s="26"/>
      <c r="K160" s="26"/>
    </row>
    <row r="161" spans="1:11" x14ac:dyDescent="0.25">
      <c r="A161" s="55"/>
      <c r="B161" s="56">
        <v>9.8000000000000007</v>
      </c>
      <c r="C161" s="21" t="s">
        <v>198</v>
      </c>
      <c r="D161" s="21" t="s">
        <v>200</v>
      </c>
      <c r="E161" s="57" t="s">
        <v>103</v>
      </c>
      <c r="F161" s="26"/>
      <c r="G161" s="57" t="s">
        <v>103</v>
      </c>
      <c r="H161" s="26"/>
      <c r="I161" s="26"/>
      <c r="J161" s="26"/>
      <c r="K161" s="26"/>
    </row>
    <row r="162" spans="1:11" x14ac:dyDescent="0.25">
      <c r="A162" s="55"/>
      <c r="B162" s="56">
        <v>9.9</v>
      </c>
      <c r="C162" s="21" t="s">
        <v>201</v>
      </c>
      <c r="D162" s="21" t="s">
        <v>202</v>
      </c>
      <c r="E162" s="57" t="s">
        <v>103</v>
      </c>
      <c r="F162" s="26"/>
      <c r="G162" s="57" t="s">
        <v>103</v>
      </c>
      <c r="H162" s="26"/>
      <c r="I162" s="26"/>
      <c r="J162" s="26"/>
      <c r="K162" s="26"/>
    </row>
    <row r="163" spans="1:11" x14ac:dyDescent="0.25">
      <c r="A163" s="55"/>
      <c r="B163" s="56">
        <v>9.9</v>
      </c>
      <c r="C163" s="21" t="s">
        <v>201</v>
      </c>
      <c r="D163" s="21" t="s">
        <v>203</v>
      </c>
      <c r="E163" s="57" t="s">
        <v>103</v>
      </c>
      <c r="F163" s="26"/>
      <c r="G163" s="57" t="s">
        <v>103</v>
      </c>
      <c r="H163" s="26"/>
      <c r="I163" s="26"/>
      <c r="J163" s="26"/>
      <c r="K163" s="26"/>
    </row>
    <row r="164" spans="1:11" x14ac:dyDescent="0.25">
      <c r="A164" s="55"/>
      <c r="B164" s="56">
        <v>9.9</v>
      </c>
      <c r="C164" s="21" t="s">
        <v>201</v>
      </c>
      <c r="D164" s="21" t="s">
        <v>204</v>
      </c>
      <c r="E164" s="57" t="s">
        <v>103</v>
      </c>
      <c r="F164" s="26"/>
      <c r="G164" s="57" t="s">
        <v>103</v>
      </c>
      <c r="H164" s="26"/>
      <c r="I164" s="26"/>
      <c r="J164" s="26"/>
      <c r="K164" s="26"/>
    </row>
    <row r="165" spans="1:11" x14ac:dyDescent="0.25">
      <c r="A165" s="55"/>
      <c r="B165" s="56" t="s">
        <v>205</v>
      </c>
      <c r="C165" s="21" t="s">
        <v>206</v>
      </c>
      <c r="D165" s="21" t="s">
        <v>207</v>
      </c>
      <c r="E165" s="57" t="s">
        <v>103</v>
      </c>
      <c r="F165" s="26"/>
      <c r="G165" s="57" t="s">
        <v>103</v>
      </c>
      <c r="H165" s="26"/>
      <c r="I165" s="26"/>
      <c r="J165" s="26"/>
      <c r="K165" s="26"/>
    </row>
    <row r="166" spans="1:11" x14ac:dyDescent="0.25">
      <c r="A166" s="55"/>
      <c r="B166" s="56">
        <v>9.11</v>
      </c>
      <c r="C166" s="21" t="s">
        <v>208</v>
      </c>
      <c r="D166" s="24" t="s">
        <v>209</v>
      </c>
      <c r="E166" s="57" t="s">
        <v>210</v>
      </c>
      <c r="F166" s="26"/>
      <c r="G166" s="57" t="s">
        <v>76</v>
      </c>
      <c r="H166" s="26"/>
      <c r="I166" s="26"/>
      <c r="J166" s="26"/>
      <c r="K166" s="26"/>
    </row>
    <row r="167" spans="1:11" ht="15.75" x14ac:dyDescent="0.25">
      <c r="A167" s="55"/>
      <c r="B167" s="56">
        <v>9.11</v>
      </c>
      <c r="C167" s="21" t="s">
        <v>208</v>
      </c>
      <c r="D167" s="24" t="s">
        <v>211</v>
      </c>
      <c r="E167" s="57" t="s">
        <v>91</v>
      </c>
      <c r="F167" s="26" t="s">
        <v>92</v>
      </c>
      <c r="G167" s="60" t="s">
        <v>39</v>
      </c>
      <c r="H167" s="60">
        <v>189545</v>
      </c>
      <c r="I167" s="61">
        <v>42744</v>
      </c>
      <c r="J167" s="61">
        <v>42747</v>
      </c>
      <c r="K167" s="26"/>
    </row>
    <row r="168" spans="1:11" x14ac:dyDescent="0.25">
      <c r="A168" s="55"/>
      <c r="B168" s="56">
        <v>9.11</v>
      </c>
      <c r="C168" s="21" t="s">
        <v>208</v>
      </c>
      <c r="D168" s="24" t="s">
        <v>211</v>
      </c>
      <c r="E168" s="57" t="s">
        <v>212</v>
      </c>
      <c r="F168" s="26"/>
      <c r="G168" s="57" t="s">
        <v>136</v>
      </c>
      <c r="H168" s="26">
        <v>189552</v>
      </c>
      <c r="I168" s="26"/>
      <c r="J168" s="26"/>
      <c r="K168" s="26"/>
    </row>
    <row r="169" spans="1:11" ht="15.75" x14ac:dyDescent="0.25">
      <c r="A169" s="55"/>
      <c r="B169" s="56">
        <v>9.11</v>
      </c>
      <c r="C169" s="21" t="s">
        <v>208</v>
      </c>
      <c r="D169" s="24" t="s">
        <v>211</v>
      </c>
      <c r="E169" s="57" t="s">
        <v>87</v>
      </c>
      <c r="F169" s="26"/>
      <c r="G169" s="57" t="s">
        <v>88</v>
      </c>
      <c r="H169" s="60" t="s">
        <v>89</v>
      </c>
      <c r="I169" s="26" t="s">
        <v>90</v>
      </c>
      <c r="J169" s="61">
        <v>42747</v>
      </c>
      <c r="K169" s="26"/>
    </row>
    <row r="170" spans="1:11" x14ac:dyDescent="0.25">
      <c r="A170" s="55"/>
      <c r="B170" s="56">
        <v>9.11</v>
      </c>
      <c r="C170" s="21" t="s">
        <v>208</v>
      </c>
      <c r="D170" s="24" t="s">
        <v>211</v>
      </c>
      <c r="E170" s="57" t="s">
        <v>213</v>
      </c>
      <c r="F170" s="26"/>
      <c r="G170" s="57" t="s">
        <v>136</v>
      </c>
      <c r="H170" s="26">
        <v>189545</v>
      </c>
      <c r="I170" s="26"/>
      <c r="J170" s="26"/>
      <c r="K170" s="26"/>
    </row>
    <row r="171" spans="1:11" x14ac:dyDescent="0.25">
      <c r="A171" s="55"/>
      <c r="B171" s="56">
        <v>9.11</v>
      </c>
      <c r="C171" s="21" t="s">
        <v>208</v>
      </c>
      <c r="D171" s="24" t="s">
        <v>214</v>
      </c>
      <c r="E171" s="57" t="s">
        <v>215</v>
      </c>
      <c r="F171" s="26"/>
      <c r="G171" s="57" t="s">
        <v>76</v>
      </c>
      <c r="H171" s="26"/>
      <c r="I171" s="26"/>
      <c r="J171" s="26"/>
      <c r="K171" s="26"/>
    </row>
    <row r="172" spans="1:11" x14ac:dyDescent="0.25">
      <c r="A172" s="55"/>
      <c r="B172" s="56">
        <v>9.11</v>
      </c>
      <c r="C172" s="21" t="s">
        <v>208</v>
      </c>
      <c r="D172" s="24" t="s">
        <v>214</v>
      </c>
      <c r="E172" s="57" t="s">
        <v>216</v>
      </c>
      <c r="F172" s="26"/>
      <c r="G172" s="57" t="s">
        <v>76</v>
      </c>
      <c r="H172" s="26"/>
      <c r="I172" s="26"/>
      <c r="J172" s="26"/>
      <c r="K172" s="26"/>
    </row>
    <row r="173" spans="1:11" x14ac:dyDescent="0.25">
      <c r="A173" s="55"/>
      <c r="B173" s="56">
        <v>9.11</v>
      </c>
      <c r="C173" s="21" t="s">
        <v>208</v>
      </c>
      <c r="D173" s="24" t="s">
        <v>214</v>
      </c>
      <c r="E173" s="57" t="s">
        <v>217</v>
      </c>
      <c r="F173" s="26"/>
      <c r="G173" s="57" t="s">
        <v>76</v>
      </c>
      <c r="H173" s="26"/>
      <c r="I173" s="26"/>
      <c r="J173" s="26"/>
      <c r="K173" s="26"/>
    </row>
    <row r="174" spans="1:11" x14ac:dyDescent="0.25">
      <c r="A174" s="55"/>
      <c r="B174" s="56">
        <v>9.11</v>
      </c>
      <c r="C174" s="21" t="s">
        <v>208</v>
      </c>
      <c r="D174" s="24" t="s">
        <v>214</v>
      </c>
      <c r="E174" s="57" t="s">
        <v>218</v>
      </c>
      <c r="F174" s="26"/>
      <c r="G174" s="57" t="s">
        <v>76</v>
      </c>
      <c r="H174" s="26"/>
      <c r="I174" s="26"/>
      <c r="J174" s="26"/>
      <c r="K174" s="26"/>
    </row>
    <row r="175" spans="1:11" x14ac:dyDescent="0.25">
      <c r="A175" s="55"/>
      <c r="B175" s="56">
        <v>9.11</v>
      </c>
      <c r="C175" s="21" t="s">
        <v>208</v>
      </c>
      <c r="D175" s="25" t="s">
        <v>219</v>
      </c>
      <c r="E175" s="57" t="s">
        <v>220</v>
      </c>
      <c r="F175" s="26"/>
      <c r="G175" s="57" t="s">
        <v>39</v>
      </c>
      <c r="H175" s="26"/>
      <c r="I175" s="26"/>
      <c r="J175" s="26"/>
      <c r="K175" s="26"/>
    </row>
    <row r="176" spans="1:11" x14ac:dyDescent="0.25">
      <c r="A176" s="55"/>
      <c r="B176" s="56">
        <v>9.1199999999999992</v>
      </c>
      <c r="C176" s="21" t="s">
        <v>221</v>
      </c>
      <c r="D176" s="21" t="s">
        <v>222</v>
      </c>
      <c r="E176" s="57" t="s">
        <v>223</v>
      </c>
      <c r="F176" s="26"/>
      <c r="G176" s="57" t="s">
        <v>76</v>
      </c>
      <c r="H176" s="59" t="s">
        <v>224</v>
      </c>
      <c r="I176" s="26"/>
      <c r="J176" s="26"/>
      <c r="K176" s="26"/>
    </row>
    <row r="177" spans="1:11" x14ac:dyDescent="0.25">
      <c r="A177" s="55"/>
      <c r="B177" s="56">
        <v>9.1199999999999992</v>
      </c>
      <c r="C177" s="21" t="s">
        <v>221</v>
      </c>
      <c r="D177" s="21" t="s">
        <v>222</v>
      </c>
      <c r="E177" s="57" t="s">
        <v>225</v>
      </c>
      <c r="F177" s="26"/>
      <c r="G177" s="57" t="s">
        <v>76</v>
      </c>
      <c r="H177" s="59" t="s">
        <v>226</v>
      </c>
      <c r="I177" s="26"/>
      <c r="J177" s="26"/>
      <c r="K177" s="26"/>
    </row>
    <row r="178" spans="1:11" x14ac:dyDescent="0.25">
      <c r="A178" s="55"/>
      <c r="B178" s="56">
        <v>9.1199999999999992</v>
      </c>
      <c r="C178" s="21" t="s">
        <v>221</v>
      </c>
      <c r="D178" s="21" t="s">
        <v>222</v>
      </c>
      <c r="E178" s="57" t="s">
        <v>227</v>
      </c>
      <c r="F178" s="26"/>
      <c r="G178" s="57" t="s">
        <v>76</v>
      </c>
      <c r="H178" s="26"/>
      <c r="I178" s="26"/>
      <c r="J178" s="26"/>
      <c r="K178" s="26"/>
    </row>
    <row r="179" spans="1:11" x14ac:dyDescent="0.25">
      <c r="A179" s="55"/>
      <c r="B179" s="56">
        <v>9.1199999999999992</v>
      </c>
      <c r="C179" s="21" t="s">
        <v>221</v>
      </c>
      <c r="D179" s="21" t="s">
        <v>222</v>
      </c>
      <c r="E179" s="57" t="s">
        <v>228</v>
      </c>
      <c r="F179" s="26"/>
      <c r="G179" s="57" t="s">
        <v>76</v>
      </c>
      <c r="H179" s="26"/>
      <c r="I179" s="26"/>
      <c r="J179" s="26"/>
      <c r="K179" s="26"/>
    </row>
    <row r="180" spans="1:11" x14ac:dyDescent="0.25">
      <c r="A180" s="55"/>
      <c r="B180" s="56">
        <v>9.1199999999999992</v>
      </c>
      <c r="C180" s="21" t="s">
        <v>221</v>
      </c>
      <c r="D180" s="21" t="s">
        <v>222</v>
      </c>
      <c r="E180" s="57" t="s">
        <v>229</v>
      </c>
      <c r="F180" s="26"/>
      <c r="G180" s="57" t="s">
        <v>136</v>
      </c>
      <c r="H180" s="63" t="s">
        <v>230</v>
      </c>
      <c r="I180" s="61">
        <v>42747</v>
      </c>
      <c r="J180" s="61">
        <v>42752</v>
      </c>
      <c r="K180" s="26"/>
    </row>
    <row r="181" spans="1:11" x14ac:dyDescent="0.25">
      <c r="A181" s="55"/>
      <c r="B181" s="56">
        <v>9.1199999999999992</v>
      </c>
      <c r="C181" s="21" t="s">
        <v>221</v>
      </c>
      <c r="D181" s="21" t="s">
        <v>222</v>
      </c>
      <c r="E181" s="57" t="s">
        <v>231</v>
      </c>
      <c r="F181" s="26"/>
      <c r="G181" s="57" t="s">
        <v>136</v>
      </c>
      <c r="H181" s="63" t="s">
        <v>230</v>
      </c>
      <c r="I181" s="61">
        <v>42747</v>
      </c>
      <c r="J181" s="61">
        <v>42752</v>
      </c>
      <c r="K181" s="26"/>
    </row>
    <row r="182" spans="1:11" x14ac:dyDescent="0.25">
      <c r="A182" s="55"/>
      <c r="B182" s="56">
        <v>9.1199999999999992</v>
      </c>
      <c r="C182" s="21" t="s">
        <v>221</v>
      </c>
      <c r="D182" s="21" t="s">
        <v>222</v>
      </c>
      <c r="E182" s="57" t="s">
        <v>232</v>
      </c>
      <c r="F182" s="26"/>
      <c r="G182" s="57" t="s">
        <v>76</v>
      </c>
      <c r="H182" s="59" t="s">
        <v>233</v>
      </c>
      <c r="I182" s="26"/>
      <c r="J182" s="26"/>
      <c r="K182" s="26"/>
    </row>
    <row r="183" spans="1:11" x14ac:dyDescent="0.25">
      <c r="A183" s="55"/>
      <c r="B183" s="56">
        <v>9.1199999999999992</v>
      </c>
      <c r="C183" s="21" t="s">
        <v>221</v>
      </c>
      <c r="D183" s="21" t="s">
        <v>234</v>
      </c>
      <c r="E183" s="64" t="s">
        <v>94</v>
      </c>
      <c r="F183" s="26"/>
      <c r="G183" s="57" t="s">
        <v>76</v>
      </c>
      <c r="H183" s="59" t="s">
        <v>235</v>
      </c>
      <c r="I183" s="26"/>
      <c r="J183" s="26"/>
      <c r="K183" s="26"/>
    </row>
    <row r="184" spans="1:11" x14ac:dyDescent="0.25">
      <c r="A184" s="55"/>
      <c r="B184" s="56">
        <v>9.1199999999999992</v>
      </c>
      <c r="C184" s="21" t="s">
        <v>221</v>
      </c>
      <c r="D184" s="21" t="s">
        <v>236</v>
      </c>
      <c r="E184" s="64" t="s">
        <v>237</v>
      </c>
      <c r="F184" s="26"/>
      <c r="G184" s="57" t="s">
        <v>76</v>
      </c>
      <c r="H184" s="59">
        <v>186093</v>
      </c>
      <c r="I184" s="26"/>
      <c r="J184" s="26"/>
      <c r="K184" s="26"/>
    </row>
    <row r="185" spans="1:11" x14ac:dyDescent="0.25">
      <c r="A185" s="55"/>
      <c r="B185" s="56">
        <v>9.1199999999999992</v>
      </c>
      <c r="C185" s="21" t="s">
        <v>221</v>
      </c>
      <c r="D185" s="21" t="s">
        <v>238</v>
      </c>
      <c r="E185" s="64" t="s">
        <v>239</v>
      </c>
      <c r="F185" s="26"/>
      <c r="G185" s="57" t="s">
        <v>76</v>
      </c>
      <c r="H185" s="26"/>
      <c r="I185" s="26"/>
      <c r="J185" s="26"/>
      <c r="K185" s="26"/>
    </row>
    <row r="186" spans="1:11" x14ac:dyDescent="0.25">
      <c r="A186" s="55"/>
      <c r="B186" s="56">
        <v>9.1199999999999992</v>
      </c>
      <c r="C186" s="21" t="s">
        <v>221</v>
      </c>
      <c r="D186" s="21" t="s">
        <v>240</v>
      </c>
      <c r="E186" s="64" t="s">
        <v>241</v>
      </c>
      <c r="F186" s="26"/>
      <c r="G186" s="57" t="s">
        <v>126</v>
      </c>
      <c r="H186" s="26"/>
      <c r="I186" s="26"/>
      <c r="J186" s="26"/>
      <c r="K186" s="26"/>
    </row>
    <row r="187" spans="1:11" x14ac:dyDescent="0.25">
      <c r="A187" s="55"/>
      <c r="B187" s="56">
        <v>9.1199999999999992</v>
      </c>
      <c r="C187" s="21" t="s">
        <v>221</v>
      </c>
      <c r="D187" s="21" t="s">
        <v>240</v>
      </c>
      <c r="E187" s="64" t="s">
        <v>242</v>
      </c>
      <c r="F187" s="26"/>
      <c r="G187" s="57" t="s">
        <v>126</v>
      </c>
      <c r="H187" s="26"/>
      <c r="I187" s="26"/>
      <c r="J187" s="26"/>
      <c r="K187" s="26"/>
    </row>
    <row r="188" spans="1:11" x14ac:dyDescent="0.25">
      <c r="A188" s="55"/>
      <c r="B188" s="56">
        <v>9.1199999999999992</v>
      </c>
      <c r="C188" s="21" t="s">
        <v>221</v>
      </c>
      <c r="D188" s="21" t="s">
        <v>243</v>
      </c>
      <c r="E188" s="64" t="s">
        <v>244</v>
      </c>
      <c r="F188" s="26"/>
      <c r="G188" s="57" t="s">
        <v>76</v>
      </c>
      <c r="H188" s="63" t="s">
        <v>245</v>
      </c>
      <c r="I188" s="26"/>
      <c r="J188" s="26"/>
      <c r="K188" s="26"/>
    </row>
    <row r="189" spans="1:11" x14ac:dyDescent="0.25">
      <c r="A189" s="55"/>
      <c r="B189" s="56">
        <v>9.1300000000000008</v>
      </c>
      <c r="C189" s="21" t="s">
        <v>246</v>
      </c>
      <c r="D189" s="21" t="s">
        <v>247</v>
      </c>
      <c r="E189" s="57" t="s">
        <v>248</v>
      </c>
      <c r="F189" s="26"/>
      <c r="G189" s="57" t="s">
        <v>76</v>
      </c>
      <c r="H189" s="26"/>
      <c r="I189" s="26"/>
      <c r="J189" s="26"/>
      <c r="K189" s="26"/>
    </row>
    <row r="190" spans="1:11" x14ac:dyDescent="0.25">
      <c r="A190" s="55"/>
      <c r="B190" s="56">
        <v>9.1300000000000008</v>
      </c>
      <c r="C190" s="21" t="s">
        <v>246</v>
      </c>
      <c r="D190" s="21" t="s">
        <v>249</v>
      </c>
      <c r="E190" s="57" t="s">
        <v>19</v>
      </c>
      <c r="F190" s="26"/>
      <c r="G190" s="57" t="s">
        <v>19</v>
      </c>
      <c r="H190" s="26"/>
      <c r="I190" s="26"/>
      <c r="J190" s="26"/>
      <c r="K190" s="26"/>
    </row>
    <row r="191" spans="1:11" x14ac:dyDescent="0.25">
      <c r="A191" s="55"/>
      <c r="B191" s="56">
        <v>9.1300000000000008</v>
      </c>
      <c r="C191" s="21" t="s">
        <v>246</v>
      </c>
      <c r="D191" s="21" t="s">
        <v>250</v>
      </c>
      <c r="E191" s="57" t="s">
        <v>103</v>
      </c>
      <c r="F191" s="26"/>
      <c r="G191" s="57" t="s">
        <v>103</v>
      </c>
      <c r="H191" s="26"/>
      <c r="I191" s="26"/>
      <c r="J191" s="26"/>
      <c r="K191" s="26"/>
    </row>
    <row r="192" spans="1:11" x14ac:dyDescent="0.25">
      <c r="A192" s="55"/>
      <c r="B192" s="56">
        <v>9.1300000000000008</v>
      </c>
      <c r="C192" s="21" t="s">
        <v>246</v>
      </c>
      <c r="D192" s="21" t="s">
        <v>251</v>
      </c>
      <c r="E192" s="57" t="s">
        <v>103</v>
      </c>
      <c r="F192" s="26"/>
      <c r="G192" s="57" t="s">
        <v>103</v>
      </c>
      <c r="H192" s="26"/>
      <c r="I192" s="26"/>
      <c r="J192" s="26"/>
      <c r="K192" s="26"/>
    </row>
    <row r="193" spans="1:11" x14ac:dyDescent="0.25">
      <c r="A193" s="55"/>
      <c r="B193" s="56">
        <v>9.1300000000000008</v>
      </c>
      <c r="C193" s="21" t="s">
        <v>246</v>
      </c>
      <c r="D193" s="21" t="s">
        <v>252</v>
      </c>
      <c r="E193" s="57" t="s">
        <v>103</v>
      </c>
      <c r="F193" s="26"/>
      <c r="G193" s="57" t="s">
        <v>103</v>
      </c>
      <c r="H193" s="26"/>
      <c r="I193" s="26"/>
      <c r="J193" s="26"/>
      <c r="K193" s="26"/>
    </row>
    <row r="194" spans="1:11" x14ac:dyDescent="0.25">
      <c r="A194" s="55"/>
      <c r="B194" s="56">
        <v>9.1300000000000008</v>
      </c>
      <c r="C194" s="21" t="s">
        <v>246</v>
      </c>
      <c r="D194" s="21" t="s">
        <v>253</v>
      </c>
      <c r="E194" s="57" t="s">
        <v>19</v>
      </c>
      <c r="F194" s="26"/>
      <c r="G194" s="57" t="s">
        <v>19</v>
      </c>
      <c r="H194" s="26"/>
      <c r="I194" s="26"/>
      <c r="J194" s="26"/>
      <c r="K194" s="26"/>
    </row>
    <row r="195" spans="1:11" x14ac:dyDescent="0.25">
      <c r="A195" s="55"/>
      <c r="B195" s="56">
        <v>9.1300000000000008</v>
      </c>
      <c r="C195" s="21" t="s">
        <v>246</v>
      </c>
      <c r="D195" s="21" t="s">
        <v>254</v>
      </c>
      <c r="E195" s="57" t="s">
        <v>255</v>
      </c>
      <c r="F195" s="26"/>
      <c r="G195" s="57" t="s">
        <v>76</v>
      </c>
      <c r="H195" s="26"/>
      <c r="I195" s="26"/>
      <c r="J195" s="26"/>
      <c r="K195" s="26"/>
    </row>
    <row r="196" spans="1:11" x14ac:dyDescent="0.25">
      <c r="A196" s="55"/>
      <c r="B196" s="56">
        <v>9.1300000000000008</v>
      </c>
      <c r="C196" s="21" t="s">
        <v>246</v>
      </c>
      <c r="D196" s="21" t="s">
        <v>256</v>
      </c>
      <c r="E196" s="57" t="s">
        <v>255</v>
      </c>
      <c r="F196" s="26"/>
      <c r="G196" s="57" t="s">
        <v>76</v>
      </c>
      <c r="H196" s="26"/>
      <c r="I196" s="26"/>
      <c r="J196" s="26"/>
      <c r="K196" s="26"/>
    </row>
    <row r="197" spans="1:11" x14ac:dyDescent="0.25">
      <c r="A197" s="55"/>
      <c r="B197" s="56">
        <v>9.1300000000000008</v>
      </c>
      <c r="C197" s="21" t="s">
        <v>246</v>
      </c>
      <c r="D197" s="21" t="s">
        <v>257</v>
      </c>
      <c r="E197" s="57" t="s">
        <v>103</v>
      </c>
      <c r="F197" s="26"/>
      <c r="G197" s="57" t="s">
        <v>103</v>
      </c>
      <c r="H197" s="26"/>
      <c r="I197" s="26"/>
      <c r="J197" s="26"/>
      <c r="K197" s="26"/>
    </row>
    <row r="198" spans="1:11" x14ac:dyDescent="0.25">
      <c r="A198" s="55"/>
      <c r="B198" s="56">
        <v>9.1300000000000008</v>
      </c>
      <c r="C198" s="21" t="s">
        <v>246</v>
      </c>
      <c r="D198" s="21" t="s">
        <v>258</v>
      </c>
      <c r="E198" s="57" t="s">
        <v>255</v>
      </c>
      <c r="F198" s="26"/>
      <c r="G198" s="57" t="s">
        <v>76</v>
      </c>
      <c r="H198" s="26"/>
      <c r="I198" s="26"/>
      <c r="J198" s="26"/>
      <c r="K198" s="26"/>
    </row>
    <row r="199" spans="1:11" x14ac:dyDescent="0.25">
      <c r="A199" s="55"/>
      <c r="B199" s="56">
        <v>9.1300000000000008</v>
      </c>
      <c r="C199" s="21" t="s">
        <v>246</v>
      </c>
      <c r="D199" s="21" t="s">
        <v>259</v>
      </c>
      <c r="E199" s="57" t="s">
        <v>103</v>
      </c>
      <c r="F199" s="26"/>
      <c r="G199" s="57" t="s">
        <v>103</v>
      </c>
      <c r="H199" s="26"/>
      <c r="I199" s="26"/>
      <c r="J199" s="26"/>
      <c r="K199" s="26"/>
    </row>
    <row r="200" spans="1:11" x14ac:dyDescent="0.25">
      <c r="A200" s="55"/>
      <c r="B200" s="56">
        <v>9.1300000000000008</v>
      </c>
      <c r="C200" s="21" t="s">
        <v>246</v>
      </c>
      <c r="D200" s="21" t="s">
        <v>260</v>
      </c>
      <c r="E200" s="57" t="s">
        <v>103</v>
      </c>
      <c r="F200" s="26"/>
      <c r="G200" s="57" t="s">
        <v>103</v>
      </c>
      <c r="H200" s="26"/>
      <c r="I200" s="26"/>
      <c r="J200" s="26"/>
      <c r="K200" s="26"/>
    </row>
    <row r="201" spans="1:11" x14ac:dyDescent="0.25">
      <c r="A201" s="55"/>
      <c r="B201" s="56">
        <v>9.1300000000000008</v>
      </c>
      <c r="C201" s="21" t="s">
        <v>246</v>
      </c>
      <c r="D201" s="21" t="s">
        <v>261</v>
      </c>
      <c r="E201" s="57" t="s">
        <v>103</v>
      </c>
      <c r="F201" s="26"/>
      <c r="G201" s="57" t="s">
        <v>103</v>
      </c>
      <c r="H201" s="26"/>
      <c r="I201" s="26"/>
      <c r="J201" s="26"/>
      <c r="K201" s="26"/>
    </row>
    <row r="202" spans="1:11" x14ac:dyDescent="0.25">
      <c r="A202" s="55"/>
      <c r="B202" s="56">
        <v>9.1300000000000008</v>
      </c>
      <c r="C202" s="21" t="s">
        <v>246</v>
      </c>
      <c r="D202" s="21" t="s">
        <v>262</v>
      </c>
      <c r="E202" s="57" t="s">
        <v>103</v>
      </c>
      <c r="F202" s="26"/>
      <c r="G202" s="57" t="s">
        <v>103</v>
      </c>
      <c r="H202" s="26"/>
      <c r="I202" s="26"/>
      <c r="J202" s="26"/>
      <c r="K202" s="26"/>
    </row>
    <row r="203" spans="1:11" x14ac:dyDescent="0.25">
      <c r="A203" s="55"/>
      <c r="B203" s="56">
        <v>9.14</v>
      </c>
      <c r="C203" s="21" t="s">
        <v>263</v>
      </c>
      <c r="D203" s="21" t="s">
        <v>264</v>
      </c>
      <c r="E203" s="57" t="s">
        <v>265</v>
      </c>
      <c r="F203" s="26"/>
      <c r="G203" s="57" t="s">
        <v>76</v>
      </c>
      <c r="H203" s="26"/>
      <c r="I203" s="26"/>
      <c r="J203" s="26"/>
      <c r="K203" s="26"/>
    </row>
    <row r="204" spans="1:11" x14ac:dyDescent="0.25">
      <c r="A204" s="55"/>
      <c r="B204" s="56">
        <v>9.14</v>
      </c>
      <c r="C204" s="21" t="s">
        <v>263</v>
      </c>
      <c r="D204" s="21" t="s">
        <v>264</v>
      </c>
      <c r="E204" s="57" t="s">
        <v>266</v>
      </c>
      <c r="F204" s="26"/>
      <c r="G204" s="57" t="s">
        <v>76</v>
      </c>
      <c r="H204" s="26"/>
      <c r="I204" s="26"/>
      <c r="J204" s="26"/>
      <c r="K204" s="26"/>
    </row>
    <row r="205" spans="1:11" x14ac:dyDescent="0.25">
      <c r="A205" s="55"/>
      <c r="B205" s="56">
        <v>9.14</v>
      </c>
      <c r="C205" s="21" t="s">
        <v>263</v>
      </c>
      <c r="D205" s="21" t="s">
        <v>267</v>
      </c>
      <c r="E205" s="57" t="s">
        <v>268</v>
      </c>
      <c r="F205" s="26"/>
      <c r="G205" s="57" t="s">
        <v>76</v>
      </c>
      <c r="H205" s="26"/>
      <c r="I205" s="26"/>
      <c r="J205" s="26"/>
      <c r="K205" s="26"/>
    </row>
    <row r="206" spans="1:11" x14ac:dyDescent="0.25">
      <c r="A206" s="55"/>
      <c r="B206" s="56">
        <v>9.14</v>
      </c>
      <c r="C206" s="21" t="s">
        <v>263</v>
      </c>
      <c r="D206" s="21" t="s">
        <v>267</v>
      </c>
      <c r="E206" s="57" t="s">
        <v>269</v>
      </c>
      <c r="F206" s="26"/>
      <c r="G206" s="57" t="s">
        <v>76</v>
      </c>
      <c r="H206" s="26"/>
      <c r="I206" s="26"/>
      <c r="J206" s="26"/>
      <c r="K206" s="26"/>
    </row>
    <row r="207" spans="1:11" x14ac:dyDescent="0.25">
      <c r="A207" s="55"/>
      <c r="B207" s="56">
        <v>9.14</v>
      </c>
      <c r="C207" s="21" t="s">
        <v>263</v>
      </c>
      <c r="D207" s="21" t="s">
        <v>267</v>
      </c>
      <c r="E207" s="57" t="s">
        <v>270</v>
      </c>
      <c r="F207" s="26"/>
      <c r="G207" s="57" t="s">
        <v>76</v>
      </c>
      <c r="H207" s="26"/>
      <c r="I207" s="26"/>
      <c r="J207" s="26"/>
      <c r="K207" s="26"/>
    </row>
    <row r="208" spans="1:11" x14ac:dyDescent="0.25">
      <c r="A208" s="55"/>
      <c r="B208" s="56">
        <v>9.14</v>
      </c>
      <c r="C208" s="21" t="s">
        <v>263</v>
      </c>
      <c r="D208" s="21" t="s">
        <v>271</v>
      </c>
      <c r="E208" s="57" t="s">
        <v>272</v>
      </c>
      <c r="F208" s="26"/>
      <c r="G208" s="57" t="s">
        <v>76</v>
      </c>
      <c r="H208" s="26"/>
      <c r="I208" s="26"/>
      <c r="J208" s="26"/>
      <c r="K208" s="26"/>
    </row>
    <row r="209" spans="1:11" x14ac:dyDescent="0.25">
      <c r="A209" s="55"/>
      <c r="B209" s="56">
        <v>9.14</v>
      </c>
      <c r="C209" s="21" t="s">
        <v>263</v>
      </c>
      <c r="D209" s="21" t="s">
        <v>271</v>
      </c>
      <c r="E209" s="57" t="s">
        <v>273</v>
      </c>
      <c r="F209" s="26"/>
      <c r="G209" s="57" t="s">
        <v>76</v>
      </c>
      <c r="H209" s="26"/>
      <c r="I209" s="26"/>
      <c r="J209" s="26"/>
      <c r="K209" s="26"/>
    </row>
    <row r="210" spans="1:11" x14ac:dyDescent="0.25">
      <c r="A210" s="55"/>
      <c r="B210" s="56">
        <v>9.14</v>
      </c>
      <c r="C210" s="21" t="s">
        <v>263</v>
      </c>
      <c r="D210" s="21" t="s">
        <v>271</v>
      </c>
      <c r="E210" s="57" t="s">
        <v>274</v>
      </c>
      <c r="F210" s="26"/>
      <c r="G210" s="57" t="s">
        <v>76</v>
      </c>
      <c r="H210" s="26"/>
      <c r="I210" s="26"/>
      <c r="J210" s="26"/>
      <c r="K210" s="26"/>
    </row>
    <row r="211" spans="1:11" x14ac:dyDescent="0.25">
      <c r="A211" s="55"/>
      <c r="B211" s="56">
        <v>9.14</v>
      </c>
      <c r="C211" s="21" t="s">
        <v>263</v>
      </c>
      <c r="D211" s="21" t="s">
        <v>271</v>
      </c>
      <c r="E211" s="57" t="s">
        <v>275</v>
      </c>
      <c r="F211" s="26"/>
      <c r="G211" s="57" t="s">
        <v>76</v>
      </c>
      <c r="H211" s="26"/>
      <c r="I211" s="26"/>
      <c r="J211" s="26"/>
      <c r="K211" s="26"/>
    </row>
    <row r="212" spans="1:11" x14ac:dyDescent="0.25">
      <c r="A212" s="55"/>
      <c r="B212" s="56">
        <v>9.14</v>
      </c>
      <c r="C212" s="21" t="s">
        <v>263</v>
      </c>
      <c r="D212" s="21" t="s">
        <v>276</v>
      </c>
      <c r="E212" s="57" t="s">
        <v>277</v>
      </c>
      <c r="F212" s="26"/>
      <c r="G212" s="57" t="s">
        <v>76</v>
      </c>
      <c r="H212" s="26"/>
      <c r="I212" s="26"/>
      <c r="J212" s="26"/>
      <c r="K212" s="26"/>
    </row>
    <row r="213" spans="1:11" x14ac:dyDescent="0.25">
      <c r="A213" s="55"/>
      <c r="B213" s="56">
        <v>9.14</v>
      </c>
      <c r="C213" s="21" t="s">
        <v>263</v>
      </c>
      <c r="D213" s="21" t="s">
        <v>276</v>
      </c>
      <c r="E213" s="57" t="s">
        <v>278</v>
      </c>
      <c r="F213" s="26"/>
      <c r="G213" s="57" t="s">
        <v>76</v>
      </c>
      <c r="H213" s="26"/>
      <c r="I213" s="26"/>
      <c r="J213" s="26"/>
      <c r="K213" s="26"/>
    </row>
    <row r="214" spans="1:11" x14ac:dyDescent="0.25">
      <c r="A214" s="55"/>
      <c r="B214" s="56">
        <v>9.14</v>
      </c>
      <c r="C214" s="21" t="s">
        <v>263</v>
      </c>
      <c r="D214" s="21" t="s">
        <v>279</v>
      </c>
      <c r="E214" s="57" t="s">
        <v>280</v>
      </c>
      <c r="F214" s="26"/>
      <c r="G214" s="57" t="s">
        <v>76</v>
      </c>
      <c r="H214" s="26"/>
      <c r="I214" s="26"/>
      <c r="J214" s="26"/>
      <c r="K214" s="26"/>
    </row>
    <row r="215" spans="1:11" x14ac:dyDescent="0.25">
      <c r="A215" s="55"/>
      <c r="B215" s="56">
        <v>9.14</v>
      </c>
      <c r="C215" s="21" t="s">
        <v>263</v>
      </c>
      <c r="D215" s="21" t="s">
        <v>279</v>
      </c>
      <c r="E215" s="57" t="s">
        <v>281</v>
      </c>
      <c r="F215" s="26"/>
      <c r="G215" s="57" t="s">
        <v>76</v>
      </c>
      <c r="H215" s="26"/>
      <c r="I215" s="26"/>
      <c r="J215" s="26"/>
      <c r="K215" s="26"/>
    </row>
    <row r="216" spans="1:11" x14ac:dyDescent="0.25">
      <c r="A216" s="55"/>
      <c r="B216" s="56">
        <v>9.15</v>
      </c>
      <c r="C216" s="21" t="s">
        <v>282</v>
      </c>
      <c r="D216" s="21" t="s">
        <v>283</v>
      </c>
      <c r="E216" s="57" t="s">
        <v>284</v>
      </c>
      <c r="F216" s="26"/>
      <c r="G216" s="57" t="s">
        <v>76</v>
      </c>
      <c r="H216" s="26"/>
      <c r="I216" s="26"/>
      <c r="J216" s="26"/>
      <c r="K216" s="26"/>
    </row>
    <row r="217" spans="1:11" x14ac:dyDescent="0.25">
      <c r="A217" s="55"/>
      <c r="B217" s="56">
        <v>9.15</v>
      </c>
      <c r="C217" s="21" t="s">
        <v>282</v>
      </c>
      <c r="D217" s="21" t="s">
        <v>283</v>
      </c>
      <c r="E217" s="57" t="s">
        <v>285</v>
      </c>
      <c r="F217" s="26"/>
      <c r="G217" s="57" t="s">
        <v>76</v>
      </c>
      <c r="H217" s="26"/>
      <c r="I217" s="26"/>
      <c r="J217" s="26"/>
      <c r="K217" s="26"/>
    </row>
    <row r="218" spans="1:11" x14ac:dyDescent="0.25">
      <c r="A218" s="55"/>
      <c r="B218" s="56">
        <v>9.15</v>
      </c>
      <c r="C218" s="21" t="s">
        <v>282</v>
      </c>
      <c r="D218" s="21" t="s">
        <v>283</v>
      </c>
      <c r="E218" s="57" t="s">
        <v>286</v>
      </c>
      <c r="F218" s="26"/>
      <c r="G218" s="57" t="s">
        <v>76</v>
      </c>
      <c r="H218" s="26"/>
      <c r="I218" s="26"/>
      <c r="J218" s="26"/>
      <c r="K218" s="26"/>
    </row>
    <row r="219" spans="1:11" x14ac:dyDescent="0.25">
      <c r="A219" s="55"/>
      <c r="B219" s="56">
        <v>9.15</v>
      </c>
      <c r="C219" s="21" t="s">
        <v>282</v>
      </c>
      <c r="D219" s="21" t="s">
        <v>283</v>
      </c>
      <c r="E219" s="57" t="s">
        <v>287</v>
      </c>
      <c r="F219" s="26"/>
      <c r="G219" s="57" t="s">
        <v>76</v>
      </c>
      <c r="H219" s="26"/>
      <c r="I219" s="26"/>
      <c r="J219" s="26"/>
      <c r="K219" s="26"/>
    </row>
    <row r="220" spans="1:11" x14ac:dyDescent="0.25">
      <c r="A220" s="55"/>
      <c r="B220" s="56">
        <v>9.15</v>
      </c>
      <c r="C220" s="21" t="s">
        <v>282</v>
      </c>
      <c r="D220" s="21" t="s">
        <v>283</v>
      </c>
      <c r="E220" s="57" t="s">
        <v>288</v>
      </c>
      <c r="F220" s="26"/>
      <c r="G220" s="57" t="s">
        <v>76</v>
      </c>
      <c r="H220" s="26"/>
      <c r="I220" s="26"/>
      <c r="J220" s="26"/>
      <c r="K220" s="26"/>
    </row>
    <row r="221" spans="1:11" x14ac:dyDescent="0.25">
      <c r="A221" s="55"/>
      <c r="B221" s="56">
        <v>9.15</v>
      </c>
      <c r="C221" s="21" t="s">
        <v>282</v>
      </c>
      <c r="D221" s="21" t="s">
        <v>283</v>
      </c>
      <c r="E221" s="57" t="s">
        <v>289</v>
      </c>
      <c r="F221" s="26"/>
      <c r="G221" s="57" t="s">
        <v>76</v>
      </c>
      <c r="H221" s="26"/>
      <c r="I221" s="26"/>
      <c r="J221" s="26"/>
      <c r="K221" s="26"/>
    </row>
    <row r="222" spans="1:11" x14ac:dyDescent="0.25">
      <c r="A222" s="55"/>
      <c r="B222" s="56">
        <v>9.15</v>
      </c>
      <c r="C222" s="21" t="s">
        <v>282</v>
      </c>
      <c r="D222" s="21" t="s">
        <v>290</v>
      </c>
      <c r="E222" s="57" t="s">
        <v>291</v>
      </c>
      <c r="F222" s="26"/>
      <c r="G222" s="57" t="s">
        <v>76</v>
      </c>
      <c r="H222" s="26"/>
      <c r="I222" s="26"/>
      <c r="J222" s="26"/>
      <c r="K222" s="26"/>
    </row>
    <row r="223" spans="1:11" x14ac:dyDescent="0.25">
      <c r="A223" s="55"/>
      <c r="B223" s="56">
        <v>9.15</v>
      </c>
      <c r="C223" s="21" t="s">
        <v>282</v>
      </c>
      <c r="D223" s="21" t="s">
        <v>290</v>
      </c>
      <c r="E223" s="57" t="s">
        <v>292</v>
      </c>
      <c r="F223" s="26"/>
      <c r="G223" s="57" t="s">
        <v>76</v>
      </c>
      <c r="H223" s="26"/>
      <c r="I223" s="26"/>
      <c r="J223" s="26"/>
      <c r="K223" s="26"/>
    </row>
    <row r="224" spans="1:11" x14ac:dyDescent="0.25">
      <c r="A224" s="55"/>
      <c r="B224" s="56">
        <v>9.15</v>
      </c>
      <c r="C224" s="21" t="s">
        <v>282</v>
      </c>
      <c r="D224" s="21" t="s">
        <v>293</v>
      </c>
      <c r="E224" s="57" t="s">
        <v>288</v>
      </c>
      <c r="F224" s="26"/>
      <c r="G224" s="57" t="s">
        <v>76</v>
      </c>
      <c r="H224" s="26"/>
      <c r="I224" s="26"/>
      <c r="J224" s="26"/>
      <c r="K224" s="26"/>
    </row>
    <row r="225" spans="1:11" x14ac:dyDescent="0.25">
      <c r="A225" s="55"/>
      <c r="B225" s="56">
        <v>9.15</v>
      </c>
      <c r="C225" s="21" t="s">
        <v>282</v>
      </c>
      <c r="D225" s="21" t="s">
        <v>293</v>
      </c>
      <c r="E225" s="57" t="s">
        <v>289</v>
      </c>
      <c r="F225" s="26"/>
      <c r="G225" s="57" t="s">
        <v>76</v>
      </c>
      <c r="H225" s="26"/>
      <c r="I225" s="26"/>
      <c r="J225" s="26"/>
      <c r="K225" s="26"/>
    </row>
    <row r="226" spans="1:11" x14ac:dyDescent="0.25">
      <c r="A226" s="55"/>
      <c r="B226" s="56">
        <v>9.15</v>
      </c>
      <c r="C226" s="21" t="s">
        <v>282</v>
      </c>
      <c r="D226" s="21" t="s">
        <v>294</v>
      </c>
      <c r="E226" s="57" t="s">
        <v>295</v>
      </c>
      <c r="F226" s="26"/>
      <c r="G226" s="57" t="s">
        <v>76</v>
      </c>
      <c r="H226" s="26"/>
      <c r="I226" s="26"/>
      <c r="J226" s="26"/>
      <c r="K226" s="26"/>
    </row>
    <row r="227" spans="1:11" x14ac:dyDescent="0.25">
      <c r="A227" s="55"/>
      <c r="B227" s="56">
        <v>9.15</v>
      </c>
      <c r="C227" s="21" t="s">
        <v>282</v>
      </c>
      <c r="D227" s="21" t="s">
        <v>294</v>
      </c>
      <c r="E227" s="57" t="s">
        <v>296</v>
      </c>
      <c r="F227" s="26"/>
      <c r="G227" s="57" t="s">
        <v>76</v>
      </c>
      <c r="H227" s="26"/>
      <c r="I227" s="26"/>
      <c r="J227" s="26"/>
      <c r="K227" s="26"/>
    </row>
    <row r="228" spans="1:11" x14ac:dyDescent="0.25">
      <c r="A228" s="55"/>
      <c r="B228" s="56">
        <v>9.15</v>
      </c>
      <c r="C228" s="21" t="s">
        <v>282</v>
      </c>
      <c r="D228" s="21" t="s">
        <v>294</v>
      </c>
      <c r="E228" s="57" t="s">
        <v>297</v>
      </c>
      <c r="F228" s="26"/>
      <c r="G228" s="57" t="s">
        <v>76</v>
      </c>
      <c r="H228" s="26"/>
      <c r="I228" s="26"/>
      <c r="J228" s="26"/>
      <c r="K228" s="26"/>
    </row>
    <row r="229" spans="1:11" x14ac:dyDescent="0.25">
      <c r="A229" s="55"/>
      <c r="B229" s="56">
        <v>9.15</v>
      </c>
      <c r="C229" s="21" t="s">
        <v>282</v>
      </c>
      <c r="D229" s="21" t="s">
        <v>298</v>
      </c>
      <c r="E229" s="57" t="s">
        <v>299</v>
      </c>
      <c r="F229" s="26"/>
      <c r="G229" s="57" t="s">
        <v>76</v>
      </c>
      <c r="H229" s="26"/>
      <c r="I229" s="26"/>
      <c r="J229" s="26"/>
      <c r="K229" s="26"/>
    </row>
    <row r="230" spans="1:11" x14ac:dyDescent="0.25">
      <c r="A230" s="55"/>
      <c r="B230" s="56">
        <v>9.15</v>
      </c>
      <c r="C230" s="21" t="s">
        <v>282</v>
      </c>
      <c r="D230" s="22" t="s">
        <v>300</v>
      </c>
      <c r="E230" s="57" t="s">
        <v>103</v>
      </c>
      <c r="F230" s="26"/>
      <c r="G230" s="57" t="s">
        <v>103</v>
      </c>
      <c r="H230" s="26"/>
      <c r="I230" s="26"/>
      <c r="J230" s="26"/>
      <c r="K230" s="26"/>
    </row>
    <row r="231" spans="1:11" x14ac:dyDescent="0.25">
      <c r="A231" s="55"/>
      <c r="B231" s="56">
        <v>9.15</v>
      </c>
      <c r="C231" s="21" t="s">
        <v>282</v>
      </c>
      <c r="D231" s="21" t="s">
        <v>301</v>
      </c>
      <c r="E231" s="57" t="s">
        <v>302</v>
      </c>
      <c r="F231" s="26"/>
      <c r="G231" s="57" t="s">
        <v>76</v>
      </c>
      <c r="H231" s="26"/>
      <c r="I231" s="26"/>
      <c r="J231" s="26"/>
      <c r="K231" s="26"/>
    </row>
    <row r="232" spans="1:11" x14ac:dyDescent="0.25">
      <c r="A232" s="55"/>
      <c r="B232" s="56">
        <v>9.15</v>
      </c>
      <c r="C232" s="21" t="s">
        <v>282</v>
      </c>
      <c r="D232" s="21" t="s">
        <v>301</v>
      </c>
      <c r="E232" s="57" t="s">
        <v>303</v>
      </c>
      <c r="F232" s="26"/>
      <c r="G232" s="57" t="s">
        <v>76</v>
      </c>
      <c r="H232" s="26"/>
      <c r="I232" s="26"/>
      <c r="J232" s="26"/>
      <c r="K232" s="26"/>
    </row>
    <row r="233" spans="1:11" x14ac:dyDescent="0.25">
      <c r="A233" s="55"/>
      <c r="B233" s="56">
        <v>9.15</v>
      </c>
      <c r="C233" s="21" t="s">
        <v>282</v>
      </c>
      <c r="D233" s="21" t="s">
        <v>304</v>
      </c>
      <c r="E233" s="57" t="s">
        <v>305</v>
      </c>
      <c r="F233" s="26"/>
      <c r="G233" s="57" t="s">
        <v>76</v>
      </c>
      <c r="H233" s="26"/>
      <c r="I233" s="26"/>
      <c r="J233" s="26"/>
      <c r="K233" s="26"/>
    </row>
    <row r="234" spans="1:11" x14ac:dyDescent="0.25">
      <c r="A234" s="55"/>
      <c r="B234" s="56">
        <v>9.15</v>
      </c>
      <c r="C234" s="21" t="s">
        <v>282</v>
      </c>
      <c r="D234" s="21" t="s">
        <v>304</v>
      </c>
      <c r="E234" s="57" t="s">
        <v>306</v>
      </c>
      <c r="F234" s="26"/>
      <c r="G234" s="57" t="s">
        <v>76</v>
      </c>
      <c r="H234" s="26"/>
      <c r="I234" s="26"/>
      <c r="J234" s="26"/>
      <c r="K234" s="26"/>
    </row>
    <row r="235" spans="1:11" x14ac:dyDescent="0.25">
      <c r="A235" s="55"/>
      <c r="B235" s="56">
        <v>9.15</v>
      </c>
      <c r="C235" s="21" t="s">
        <v>282</v>
      </c>
      <c r="D235" s="21" t="s">
        <v>307</v>
      </c>
      <c r="E235" s="57" t="s">
        <v>308</v>
      </c>
      <c r="F235" s="26"/>
      <c r="G235" s="57" t="s">
        <v>76</v>
      </c>
      <c r="H235" s="26"/>
      <c r="I235" s="26"/>
      <c r="J235" s="26"/>
      <c r="K235" s="26"/>
    </row>
    <row r="236" spans="1:11" x14ac:dyDescent="0.25">
      <c r="A236" s="55"/>
      <c r="B236" s="56">
        <v>9.15</v>
      </c>
      <c r="C236" s="21" t="s">
        <v>282</v>
      </c>
      <c r="D236" s="21" t="s">
        <v>307</v>
      </c>
      <c r="E236" s="57" t="s">
        <v>309</v>
      </c>
      <c r="F236" s="26"/>
      <c r="G236" s="57" t="s">
        <v>76</v>
      </c>
      <c r="H236" s="26"/>
      <c r="I236" s="26"/>
      <c r="J236" s="26"/>
      <c r="K236" s="26"/>
    </row>
    <row r="237" spans="1:11" x14ac:dyDescent="0.25">
      <c r="A237" s="55"/>
      <c r="B237" s="56">
        <v>9.15</v>
      </c>
      <c r="C237" s="21" t="s">
        <v>282</v>
      </c>
      <c r="D237" s="21" t="s">
        <v>307</v>
      </c>
      <c r="E237" s="57" t="s">
        <v>310</v>
      </c>
      <c r="F237" s="26"/>
      <c r="G237" s="57" t="s">
        <v>76</v>
      </c>
      <c r="H237" s="26"/>
      <c r="I237" s="26"/>
      <c r="J237" s="26"/>
      <c r="K237" s="26"/>
    </row>
    <row r="238" spans="1:11" x14ac:dyDescent="0.25">
      <c r="A238" s="55"/>
      <c r="B238" s="56">
        <v>9.15</v>
      </c>
      <c r="C238" s="21" t="s">
        <v>282</v>
      </c>
      <c r="D238" s="21" t="s">
        <v>311</v>
      </c>
      <c r="E238" s="57" t="s">
        <v>312</v>
      </c>
      <c r="F238" s="26"/>
      <c r="G238" s="57" t="s">
        <v>76</v>
      </c>
      <c r="H238" s="26"/>
      <c r="I238" s="26"/>
      <c r="J238" s="26"/>
      <c r="K238" s="26"/>
    </row>
    <row r="239" spans="1:11" x14ac:dyDescent="0.25">
      <c r="A239" s="55"/>
      <c r="B239" s="56">
        <v>9.15</v>
      </c>
      <c r="C239" s="21" t="s">
        <v>282</v>
      </c>
      <c r="D239" s="21" t="s">
        <v>311</v>
      </c>
      <c r="E239" s="57" t="s">
        <v>313</v>
      </c>
      <c r="F239" s="26"/>
      <c r="G239" s="57" t="s">
        <v>76</v>
      </c>
      <c r="H239" s="26"/>
      <c r="I239" s="26"/>
      <c r="J239" s="26"/>
      <c r="K239" s="26"/>
    </row>
    <row r="240" spans="1:11" x14ac:dyDescent="0.25">
      <c r="A240" s="55"/>
      <c r="B240" s="56">
        <v>9.15</v>
      </c>
      <c r="C240" s="21" t="s">
        <v>282</v>
      </c>
      <c r="D240" s="21" t="s">
        <v>311</v>
      </c>
      <c r="E240" s="57" t="s">
        <v>314</v>
      </c>
      <c r="F240" s="26"/>
      <c r="G240" s="57" t="s">
        <v>76</v>
      </c>
      <c r="H240" s="26"/>
      <c r="I240" s="26"/>
      <c r="J240" s="26"/>
      <c r="K240" s="26"/>
    </row>
    <row r="241" spans="1:11" x14ac:dyDescent="0.25">
      <c r="A241" s="55"/>
      <c r="B241" s="56">
        <v>9.15</v>
      </c>
      <c r="C241" s="21" t="s">
        <v>282</v>
      </c>
      <c r="D241" s="21" t="s">
        <v>311</v>
      </c>
      <c r="E241" s="57" t="s">
        <v>315</v>
      </c>
      <c r="F241" s="26"/>
      <c r="G241" s="57" t="s">
        <v>76</v>
      </c>
      <c r="H241" s="26"/>
      <c r="I241" s="26"/>
      <c r="J241" s="26"/>
      <c r="K241" s="26"/>
    </row>
    <row r="242" spans="1:11" x14ac:dyDescent="0.25">
      <c r="A242" s="55"/>
      <c r="B242" s="56">
        <v>9.15</v>
      </c>
      <c r="C242" s="21" t="s">
        <v>282</v>
      </c>
      <c r="D242" s="21" t="s">
        <v>311</v>
      </c>
      <c r="E242" s="57" t="s">
        <v>316</v>
      </c>
      <c r="F242" s="26"/>
      <c r="G242" s="57" t="s">
        <v>76</v>
      </c>
      <c r="H242" s="26"/>
      <c r="I242" s="26"/>
      <c r="J242" s="26"/>
      <c r="K242" s="26"/>
    </row>
    <row r="243" spans="1:11" x14ac:dyDescent="0.25">
      <c r="A243" s="55"/>
      <c r="B243" s="56">
        <v>9.15</v>
      </c>
      <c r="C243" s="21" t="s">
        <v>282</v>
      </c>
      <c r="D243" s="21" t="s">
        <v>311</v>
      </c>
      <c r="E243" s="57" t="s">
        <v>317</v>
      </c>
      <c r="F243" s="26"/>
      <c r="G243" s="57" t="s">
        <v>76</v>
      </c>
      <c r="H243" s="26"/>
      <c r="I243" s="26"/>
      <c r="J243" s="26"/>
      <c r="K243" s="26"/>
    </row>
    <row r="244" spans="1:11" x14ac:dyDescent="0.25">
      <c r="A244" s="55"/>
      <c r="B244" s="56">
        <v>9.15</v>
      </c>
      <c r="C244" s="21" t="s">
        <v>282</v>
      </c>
      <c r="D244" s="21" t="s">
        <v>311</v>
      </c>
      <c r="E244" s="57" t="s">
        <v>318</v>
      </c>
      <c r="F244" s="26"/>
      <c r="G244" s="57" t="s">
        <v>76</v>
      </c>
      <c r="H244" s="26"/>
      <c r="I244" s="26"/>
      <c r="J244" s="26"/>
      <c r="K244" s="26"/>
    </row>
    <row r="245" spans="1:11" x14ac:dyDescent="0.25">
      <c r="A245" s="55"/>
      <c r="B245" s="26">
        <v>7</v>
      </c>
      <c r="C245" s="21" t="s">
        <v>319</v>
      </c>
      <c r="D245" s="26" t="s">
        <v>320</v>
      </c>
      <c r="E245" s="57" t="s">
        <v>321</v>
      </c>
      <c r="F245" s="26"/>
      <c r="G245" s="57" t="s">
        <v>76</v>
      </c>
      <c r="H245" s="26"/>
      <c r="I245" s="26"/>
      <c r="J245" s="26"/>
      <c r="K245" s="26"/>
    </row>
    <row r="246" spans="1:11" x14ac:dyDescent="0.25">
      <c r="A246" s="55"/>
      <c r="B246" s="26">
        <v>7</v>
      </c>
      <c r="C246" s="21" t="s">
        <v>319</v>
      </c>
      <c r="D246" s="26" t="s">
        <v>322</v>
      </c>
      <c r="E246" s="57" t="s">
        <v>323</v>
      </c>
      <c r="F246" s="26"/>
      <c r="G246" s="57" t="s">
        <v>76</v>
      </c>
      <c r="H246" s="26"/>
      <c r="I246" s="26"/>
      <c r="J246" s="26"/>
      <c r="K246" s="26"/>
    </row>
    <row r="247" spans="1:11" x14ac:dyDescent="0.25">
      <c r="A247" s="55"/>
      <c r="B247" s="26">
        <v>7</v>
      </c>
      <c r="C247" s="21" t="s">
        <v>319</v>
      </c>
      <c r="D247" s="26" t="s">
        <v>322</v>
      </c>
      <c r="E247" s="57" t="s">
        <v>321</v>
      </c>
      <c r="F247" s="26"/>
      <c r="G247" s="57" t="s">
        <v>76</v>
      </c>
      <c r="H247" s="26"/>
      <c r="I247" s="26"/>
      <c r="J247" s="26"/>
      <c r="K247" s="26"/>
    </row>
    <row r="248" spans="1:11" x14ac:dyDescent="0.25">
      <c r="A248" s="55"/>
      <c r="B248" s="26">
        <v>7</v>
      </c>
      <c r="C248" s="21" t="s">
        <v>319</v>
      </c>
      <c r="D248" s="26" t="s">
        <v>324</v>
      </c>
      <c r="E248" s="57" t="s">
        <v>325</v>
      </c>
      <c r="F248" s="26"/>
      <c r="G248" s="57" t="s">
        <v>76</v>
      </c>
      <c r="H248" s="26"/>
      <c r="I248" s="26"/>
      <c r="J248" s="26"/>
      <c r="K248" s="26"/>
    </row>
    <row r="249" spans="1:11" x14ac:dyDescent="0.25">
      <c r="A249" s="55"/>
      <c r="B249" s="26">
        <v>7</v>
      </c>
      <c r="C249" s="21" t="s">
        <v>319</v>
      </c>
      <c r="D249" s="26" t="s">
        <v>324</v>
      </c>
      <c r="E249" s="57" t="s">
        <v>326</v>
      </c>
      <c r="F249" s="26"/>
      <c r="G249" s="57" t="s">
        <v>76</v>
      </c>
      <c r="H249" s="26"/>
      <c r="I249" s="26"/>
      <c r="J249" s="26"/>
      <c r="K249" s="26"/>
    </row>
    <row r="250" spans="1:11" x14ac:dyDescent="0.25">
      <c r="A250" s="55"/>
      <c r="B250" s="26">
        <v>7</v>
      </c>
      <c r="C250" s="21" t="s">
        <v>319</v>
      </c>
      <c r="D250" s="26" t="s">
        <v>324</v>
      </c>
      <c r="E250" s="57" t="s">
        <v>327</v>
      </c>
      <c r="F250" s="26"/>
      <c r="G250" s="57" t="s">
        <v>76</v>
      </c>
      <c r="H250" s="26"/>
      <c r="I250" s="26"/>
      <c r="J250" s="26"/>
      <c r="K250" s="26"/>
    </row>
    <row r="251" spans="1:11" x14ac:dyDescent="0.25">
      <c r="A251" s="55"/>
      <c r="B251" s="26">
        <v>7</v>
      </c>
      <c r="C251" s="21" t="s">
        <v>319</v>
      </c>
      <c r="D251" s="26" t="s">
        <v>324</v>
      </c>
      <c r="E251" s="57" t="s">
        <v>328</v>
      </c>
      <c r="F251" s="26"/>
      <c r="G251" s="57" t="s">
        <v>76</v>
      </c>
      <c r="H251" s="26"/>
      <c r="I251" s="26"/>
      <c r="J251" s="26"/>
      <c r="K251" s="26"/>
    </row>
    <row r="252" spans="1:11" x14ac:dyDescent="0.25">
      <c r="A252" s="55"/>
      <c r="B252" s="26">
        <v>7</v>
      </c>
      <c r="C252" s="21" t="s">
        <v>319</v>
      </c>
      <c r="D252" s="26" t="s">
        <v>329</v>
      </c>
      <c r="E252" s="57" t="s">
        <v>330</v>
      </c>
      <c r="F252" s="26"/>
      <c r="G252" s="57" t="s">
        <v>76</v>
      </c>
      <c r="H252" s="59">
        <v>184689</v>
      </c>
      <c r="I252" s="26"/>
      <c r="J252" s="26"/>
      <c r="K252" s="26" t="s">
        <v>331</v>
      </c>
    </row>
    <row r="253" spans="1:11" x14ac:dyDescent="0.25">
      <c r="A253" s="55"/>
      <c r="B253" s="26">
        <v>7</v>
      </c>
      <c r="C253" s="21" t="s">
        <v>319</v>
      </c>
      <c r="D253" s="26" t="s">
        <v>329</v>
      </c>
      <c r="E253" s="57" t="s">
        <v>332</v>
      </c>
      <c r="F253" s="26"/>
      <c r="G253" s="57" t="s">
        <v>76</v>
      </c>
      <c r="H253" s="59">
        <v>184689</v>
      </c>
      <c r="I253" s="26"/>
      <c r="J253" s="26"/>
      <c r="K253" s="26" t="s">
        <v>331</v>
      </c>
    </row>
    <row r="254" spans="1:11" x14ac:dyDescent="0.25">
      <c r="A254" s="55"/>
      <c r="B254" s="26">
        <v>7</v>
      </c>
      <c r="C254" s="21" t="s">
        <v>319</v>
      </c>
      <c r="D254" s="26" t="s">
        <v>329</v>
      </c>
      <c r="E254" s="57" t="s">
        <v>333</v>
      </c>
      <c r="F254" s="26"/>
      <c r="G254" s="57" t="s">
        <v>76</v>
      </c>
      <c r="H254" s="26"/>
      <c r="I254" s="26"/>
      <c r="J254" s="26"/>
      <c r="K254" s="26"/>
    </row>
    <row r="255" spans="1:11" x14ac:dyDescent="0.25">
      <c r="A255" s="55"/>
      <c r="B255" s="26">
        <v>7</v>
      </c>
      <c r="C255" s="21" t="s">
        <v>319</v>
      </c>
      <c r="D255" s="26" t="s">
        <v>329</v>
      </c>
      <c r="E255" s="57" t="s">
        <v>334</v>
      </c>
      <c r="F255" s="26"/>
      <c r="G255" s="57" t="s">
        <v>76</v>
      </c>
      <c r="H255" s="26"/>
      <c r="I255" s="26"/>
      <c r="J255" s="26"/>
      <c r="K255" s="26"/>
    </row>
    <row r="256" spans="1:11" ht="15.75" x14ac:dyDescent="0.25">
      <c r="A256" s="55"/>
      <c r="B256" s="26">
        <v>7</v>
      </c>
      <c r="C256" s="21" t="s">
        <v>319</v>
      </c>
      <c r="D256" s="26" t="s">
        <v>329</v>
      </c>
      <c r="E256" s="57" t="s">
        <v>335</v>
      </c>
      <c r="F256" s="26"/>
      <c r="G256" s="57" t="s">
        <v>76</v>
      </c>
      <c r="H256" s="65" t="s">
        <v>336</v>
      </c>
      <c r="I256" s="26"/>
      <c r="J256" s="26"/>
      <c r="K256" s="26"/>
    </row>
    <row r="257" spans="1:11" ht="15.75" x14ac:dyDescent="0.25">
      <c r="A257" s="55"/>
      <c r="B257" s="26">
        <v>7</v>
      </c>
      <c r="C257" s="21" t="s">
        <v>319</v>
      </c>
      <c r="D257" s="26" t="s">
        <v>329</v>
      </c>
      <c r="E257" s="57" t="s">
        <v>337</v>
      </c>
      <c r="F257" s="26"/>
      <c r="G257" s="57" t="s">
        <v>76</v>
      </c>
      <c r="H257" s="65" t="s">
        <v>338</v>
      </c>
      <c r="I257" s="26"/>
      <c r="J257" s="26"/>
      <c r="K257" s="26"/>
    </row>
    <row r="258" spans="1:11" x14ac:dyDescent="0.25">
      <c r="A258" s="55"/>
      <c r="B258" s="26">
        <v>7</v>
      </c>
      <c r="C258" s="21" t="s">
        <v>319</v>
      </c>
      <c r="D258" s="26" t="s">
        <v>339</v>
      </c>
      <c r="E258" s="57" t="s">
        <v>340</v>
      </c>
      <c r="F258" s="26"/>
      <c r="G258" s="57" t="s">
        <v>76</v>
      </c>
      <c r="H258" s="26"/>
      <c r="I258" s="26"/>
      <c r="J258" s="26"/>
      <c r="K258" s="26"/>
    </row>
    <row r="259" spans="1:11" x14ac:dyDescent="0.25">
      <c r="A259" s="55"/>
      <c r="B259" s="26">
        <v>7</v>
      </c>
      <c r="C259" s="21" t="s">
        <v>319</v>
      </c>
      <c r="D259" s="26" t="s">
        <v>339</v>
      </c>
      <c r="E259" s="57" t="s">
        <v>341</v>
      </c>
      <c r="F259" s="26"/>
      <c r="G259" s="57" t="s">
        <v>76</v>
      </c>
      <c r="H259" s="26"/>
      <c r="I259" s="26"/>
      <c r="J259" s="26"/>
      <c r="K259" s="26"/>
    </row>
    <row r="260" spans="1:11" x14ac:dyDescent="0.25">
      <c r="A260" s="55"/>
      <c r="B260" s="26">
        <v>7</v>
      </c>
      <c r="C260" s="21" t="s">
        <v>319</v>
      </c>
      <c r="D260" s="26" t="s">
        <v>342</v>
      </c>
      <c r="E260" s="57" t="s">
        <v>343</v>
      </c>
      <c r="F260" s="26"/>
      <c r="G260" s="57" t="s">
        <v>76</v>
      </c>
      <c r="H260" s="26"/>
      <c r="I260" s="26"/>
      <c r="J260" s="26"/>
      <c r="K260" s="26"/>
    </row>
    <row r="261" spans="1:11" x14ac:dyDescent="0.25">
      <c r="A261" s="55"/>
      <c r="B261" s="26">
        <v>7</v>
      </c>
      <c r="C261" s="21" t="s">
        <v>319</v>
      </c>
      <c r="D261" s="26" t="s">
        <v>344</v>
      </c>
      <c r="E261" s="57" t="s">
        <v>323</v>
      </c>
      <c r="F261" s="26"/>
      <c r="G261" s="57" t="s">
        <v>76</v>
      </c>
      <c r="H261" s="26"/>
      <c r="I261" s="26"/>
      <c r="J261" s="26"/>
      <c r="K261" s="26"/>
    </row>
    <row r="262" spans="1:11" x14ac:dyDescent="0.25">
      <c r="A262" s="55"/>
      <c r="B262" s="26">
        <v>7</v>
      </c>
      <c r="C262" s="21" t="s">
        <v>319</v>
      </c>
      <c r="D262" s="26" t="s">
        <v>344</v>
      </c>
      <c r="E262" s="57" t="s">
        <v>345</v>
      </c>
      <c r="F262" s="26"/>
      <c r="G262" s="57" t="s">
        <v>76</v>
      </c>
      <c r="H262" s="26"/>
      <c r="I262" s="26"/>
      <c r="J262" s="26"/>
      <c r="K262" s="26"/>
    </row>
    <row r="263" spans="1:11" x14ac:dyDescent="0.25">
      <c r="A263" s="55"/>
      <c r="B263" s="26">
        <v>7</v>
      </c>
      <c r="C263" s="21" t="s">
        <v>319</v>
      </c>
      <c r="D263" s="26" t="s">
        <v>346</v>
      </c>
      <c r="E263" s="57" t="s">
        <v>347</v>
      </c>
      <c r="F263" s="26"/>
      <c r="G263" s="57" t="s">
        <v>76</v>
      </c>
      <c r="H263" s="26"/>
      <c r="I263" s="26"/>
      <c r="J263" s="26"/>
      <c r="K263" s="26"/>
    </row>
    <row r="264" spans="1:11" x14ac:dyDescent="0.25">
      <c r="A264" s="55"/>
      <c r="B264" s="26">
        <v>7</v>
      </c>
      <c r="C264" s="21" t="s">
        <v>319</v>
      </c>
      <c r="D264" s="26" t="s">
        <v>348</v>
      </c>
      <c r="E264" s="57" t="s">
        <v>349</v>
      </c>
      <c r="F264" s="44" t="s">
        <v>350</v>
      </c>
      <c r="G264" s="57" t="s">
        <v>126</v>
      </c>
      <c r="H264" s="26"/>
      <c r="I264" s="26"/>
      <c r="J264" s="26"/>
      <c r="K264" s="26"/>
    </row>
    <row r="265" spans="1:11" x14ac:dyDescent="0.25">
      <c r="A265" s="55"/>
      <c r="B265" s="26">
        <v>7</v>
      </c>
      <c r="C265" s="21" t="s">
        <v>319</v>
      </c>
      <c r="D265" s="26" t="s">
        <v>351</v>
      </c>
      <c r="E265" s="57" t="s">
        <v>345</v>
      </c>
      <c r="F265" s="26"/>
      <c r="G265" s="57" t="s">
        <v>76</v>
      </c>
      <c r="H265" s="26"/>
      <c r="I265" s="26"/>
      <c r="J265" s="26"/>
      <c r="K265" s="26"/>
    </row>
    <row r="266" spans="1:11" x14ac:dyDescent="0.25">
      <c r="A266" s="55"/>
      <c r="B266" s="26">
        <v>7</v>
      </c>
      <c r="C266" s="21" t="s">
        <v>319</v>
      </c>
      <c r="D266" s="26" t="s">
        <v>352</v>
      </c>
      <c r="E266" s="57" t="s">
        <v>325</v>
      </c>
      <c r="F266" s="26"/>
      <c r="G266" s="57" t="s">
        <v>76</v>
      </c>
      <c r="H266" s="26"/>
      <c r="I266" s="26"/>
      <c r="J266" s="26"/>
      <c r="K266" s="26"/>
    </row>
    <row r="267" spans="1:11" x14ac:dyDescent="0.25">
      <c r="A267" s="55"/>
      <c r="B267" s="26">
        <v>7</v>
      </c>
      <c r="C267" s="21" t="s">
        <v>319</v>
      </c>
      <c r="D267" s="26" t="s">
        <v>353</v>
      </c>
      <c r="E267" s="57" t="s">
        <v>354</v>
      </c>
      <c r="F267" s="44" t="s">
        <v>350</v>
      </c>
      <c r="G267" s="57" t="s">
        <v>126</v>
      </c>
      <c r="H267" s="26"/>
      <c r="I267" s="26"/>
      <c r="J267" s="26"/>
      <c r="K267" s="26"/>
    </row>
    <row r="268" spans="1:11" x14ac:dyDescent="0.25">
      <c r="A268" s="55"/>
      <c r="B268" s="26">
        <v>7</v>
      </c>
      <c r="C268" s="21" t="s">
        <v>319</v>
      </c>
      <c r="D268" s="26" t="s">
        <v>355</v>
      </c>
      <c r="E268" s="57" t="s">
        <v>328</v>
      </c>
      <c r="F268" s="26"/>
      <c r="G268" s="57" t="s">
        <v>76</v>
      </c>
      <c r="H268" s="26"/>
      <c r="I268" s="26"/>
      <c r="J268" s="26"/>
      <c r="K268" s="26"/>
    </row>
    <row r="269" spans="1:11" x14ac:dyDescent="0.25">
      <c r="A269" s="55"/>
      <c r="B269" s="26">
        <v>7</v>
      </c>
      <c r="C269" s="21" t="s">
        <v>319</v>
      </c>
      <c r="D269" s="26" t="s">
        <v>356</v>
      </c>
      <c r="E269" s="57" t="s">
        <v>354</v>
      </c>
      <c r="F269" s="44" t="s">
        <v>350</v>
      </c>
      <c r="G269" s="57" t="s">
        <v>126</v>
      </c>
      <c r="H269" s="26"/>
      <c r="I269" s="26"/>
      <c r="J269" s="26"/>
      <c r="K269" s="26"/>
    </row>
    <row r="270" spans="1:11" x14ac:dyDescent="0.25">
      <c r="A270" s="55"/>
      <c r="B270" s="26">
        <v>7</v>
      </c>
      <c r="C270" s="21" t="s">
        <v>319</v>
      </c>
      <c r="D270" s="26" t="s">
        <v>357</v>
      </c>
      <c r="E270" s="57" t="s">
        <v>358</v>
      </c>
      <c r="F270" s="44" t="s">
        <v>350</v>
      </c>
      <c r="G270" s="57" t="s">
        <v>126</v>
      </c>
      <c r="H270" s="26"/>
      <c r="I270" s="26"/>
      <c r="J270" s="26"/>
      <c r="K270" s="26"/>
    </row>
    <row r="271" spans="1:11" x14ac:dyDescent="0.25">
      <c r="A271" s="55"/>
      <c r="B271" s="26">
        <v>7</v>
      </c>
      <c r="C271" s="21" t="s">
        <v>319</v>
      </c>
      <c r="D271" s="26" t="s">
        <v>359</v>
      </c>
      <c r="E271" s="57" t="s">
        <v>358</v>
      </c>
      <c r="F271" s="44" t="s">
        <v>350</v>
      </c>
      <c r="G271" s="57" t="s">
        <v>126</v>
      </c>
      <c r="H271" s="26"/>
      <c r="I271" s="26"/>
      <c r="J271" s="26"/>
      <c r="K271" s="26"/>
    </row>
    <row r="272" spans="1:11" x14ac:dyDescent="0.25">
      <c r="A272" s="55"/>
      <c r="B272" s="26">
        <v>7</v>
      </c>
      <c r="C272" s="21" t="s">
        <v>319</v>
      </c>
      <c r="D272" s="26" t="s">
        <v>360</v>
      </c>
      <c r="E272" s="57" t="s">
        <v>361</v>
      </c>
      <c r="F272" s="26"/>
      <c r="G272" s="57" t="s">
        <v>76</v>
      </c>
      <c r="H272" s="26"/>
      <c r="I272" s="26"/>
      <c r="J272" s="26"/>
      <c r="K272" s="26"/>
    </row>
    <row r="273" spans="1:11" x14ac:dyDescent="0.25">
      <c r="A273" s="55"/>
      <c r="B273" s="26">
        <v>7</v>
      </c>
      <c r="C273" s="21" t="s">
        <v>319</v>
      </c>
      <c r="D273" s="26" t="s">
        <v>362</v>
      </c>
      <c r="E273" s="57" t="s">
        <v>363</v>
      </c>
      <c r="F273" s="26"/>
      <c r="G273" s="57" t="s">
        <v>76</v>
      </c>
      <c r="H273" s="26"/>
      <c r="I273" s="26"/>
      <c r="J273" s="26"/>
      <c r="K273" s="26"/>
    </row>
    <row r="274" spans="1:11" x14ac:dyDescent="0.25">
      <c r="A274" s="55"/>
      <c r="B274" s="26">
        <v>7</v>
      </c>
      <c r="C274" s="21" t="s">
        <v>319</v>
      </c>
      <c r="D274" s="26" t="s">
        <v>364</v>
      </c>
      <c r="E274" s="57" t="s">
        <v>365</v>
      </c>
      <c r="F274" s="26"/>
      <c r="G274" s="57" t="s">
        <v>76</v>
      </c>
      <c r="H274" s="26"/>
      <c r="I274" s="26"/>
      <c r="J274" s="26"/>
      <c r="K274" s="26"/>
    </row>
    <row r="275" spans="1:11" x14ac:dyDescent="0.25">
      <c r="A275" s="55"/>
      <c r="B275" s="26">
        <v>7</v>
      </c>
      <c r="C275" s="21" t="s">
        <v>319</v>
      </c>
      <c r="D275" s="26" t="s">
        <v>366</v>
      </c>
      <c r="E275" s="57" t="s">
        <v>367</v>
      </c>
      <c r="F275" s="26"/>
      <c r="G275" s="57" t="s">
        <v>76</v>
      </c>
      <c r="H275" s="26"/>
      <c r="I275" s="26"/>
      <c r="J275" s="26"/>
      <c r="K275" s="26"/>
    </row>
    <row r="276" spans="1:11" x14ac:dyDescent="0.25">
      <c r="A276" s="55"/>
      <c r="B276" s="26">
        <v>7</v>
      </c>
      <c r="C276" s="21" t="s">
        <v>319</v>
      </c>
      <c r="D276" s="26" t="s">
        <v>368</v>
      </c>
      <c r="E276" s="57" t="s">
        <v>369</v>
      </c>
      <c r="F276" s="26"/>
      <c r="G276" s="57" t="s">
        <v>76</v>
      </c>
      <c r="H276" s="59">
        <v>176093</v>
      </c>
      <c r="I276" s="26"/>
      <c r="J276" s="26"/>
      <c r="K276" s="26"/>
    </row>
    <row r="277" spans="1:11" x14ac:dyDescent="0.25">
      <c r="A277" s="55"/>
      <c r="B277" s="26">
        <v>7</v>
      </c>
      <c r="C277" s="21" t="s">
        <v>319</v>
      </c>
      <c r="D277" s="26" t="s">
        <v>370</v>
      </c>
      <c r="E277" s="57" t="s">
        <v>371</v>
      </c>
      <c r="F277" s="26"/>
      <c r="G277" s="57" t="s">
        <v>126</v>
      </c>
      <c r="H277" s="59"/>
      <c r="I277" s="26"/>
      <c r="J277" s="26"/>
      <c r="K277" s="26"/>
    </row>
    <row r="278" spans="1:11" x14ac:dyDescent="0.25">
      <c r="A278" s="55"/>
      <c r="B278" s="26">
        <v>7</v>
      </c>
      <c r="C278" s="21" t="s">
        <v>319</v>
      </c>
      <c r="D278" s="26" t="s">
        <v>370</v>
      </c>
      <c r="E278" s="57" t="s">
        <v>372</v>
      </c>
      <c r="F278" s="26"/>
      <c r="G278" s="57" t="s">
        <v>126</v>
      </c>
      <c r="H278" s="59"/>
      <c r="I278" s="26"/>
      <c r="J278" s="26"/>
      <c r="K278" s="26"/>
    </row>
    <row r="279" spans="1:11" x14ac:dyDescent="0.25">
      <c r="A279" s="55"/>
      <c r="B279" s="26">
        <v>7</v>
      </c>
      <c r="C279" s="21" t="s">
        <v>319</v>
      </c>
      <c r="D279" s="26" t="s">
        <v>373</v>
      </c>
      <c r="E279" s="57" t="s">
        <v>371</v>
      </c>
      <c r="F279" s="26"/>
      <c r="G279" s="57" t="s">
        <v>126</v>
      </c>
      <c r="H279" s="59"/>
      <c r="I279" s="26"/>
      <c r="J279" s="26"/>
      <c r="K279" s="26"/>
    </row>
    <row r="280" spans="1:11" x14ac:dyDescent="0.25">
      <c r="A280" s="55"/>
      <c r="B280" s="26">
        <v>7</v>
      </c>
      <c r="C280" s="21" t="s">
        <v>319</v>
      </c>
      <c r="D280" s="26" t="s">
        <v>373</v>
      </c>
      <c r="E280" s="57" t="s">
        <v>372</v>
      </c>
      <c r="F280" s="26"/>
      <c r="G280" s="57" t="s">
        <v>126</v>
      </c>
      <c r="H280" s="59"/>
      <c r="I280" s="26"/>
      <c r="J280" s="26"/>
      <c r="K280" s="26"/>
    </row>
    <row r="281" spans="1:11" x14ac:dyDescent="0.25">
      <c r="A281" s="55"/>
      <c r="B281" s="26">
        <v>7</v>
      </c>
      <c r="C281" s="21" t="s">
        <v>319</v>
      </c>
      <c r="D281" s="26" t="s">
        <v>374</v>
      </c>
      <c r="E281" s="57" t="s">
        <v>375</v>
      </c>
      <c r="F281" s="26"/>
      <c r="G281" s="57" t="s">
        <v>76</v>
      </c>
      <c r="H281" s="26"/>
      <c r="I281" s="26"/>
      <c r="J281" s="26"/>
      <c r="K281" s="26"/>
    </row>
    <row r="282" spans="1:11" x14ac:dyDescent="0.25">
      <c r="A282" s="55"/>
      <c r="B282" s="26">
        <v>8</v>
      </c>
      <c r="C282" s="26" t="s">
        <v>376</v>
      </c>
      <c r="D282" s="26" t="s">
        <v>377</v>
      </c>
      <c r="E282" s="57" t="s">
        <v>103</v>
      </c>
      <c r="F282" s="26"/>
      <c r="G282" s="57" t="s">
        <v>103</v>
      </c>
      <c r="H282" s="26"/>
      <c r="I282" s="26"/>
      <c r="J282" s="26"/>
      <c r="K282" s="26"/>
    </row>
    <row r="283" spans="1:11" x14ac:dyDescent="0.25">
      <c r="A283" s="55"/>
      <c r="B283" s="26">
        <v>8</v>
      </c>
      <c r="C283" s="26" t="s">
        <v>376</v>
      </c>
      <c r="D283" s="26" t="s">
        <v>378</v>
      </c>
      <c r="E283" s="57" t="s">
        <v>103</v>
      </c>
      <c r="F283" s="26"/>
      <c r="G283" s="57" t="s">
        <v>103</v>
      </c>
      <c r="H283" s="26"/>
      <c r="I283" s="26"/>
      <c r="J283" s="26"/>
      <c r="K283" s="26"/>
    </row>
    <row r="284" spans="1:11" x14ac:dyDescent="0.25">
      <c r="A284" s="55"/>
      <c r="B284" s="26">
        <v>8</v>
      </c>
      <c r="C284" s="26" t="s">
        <v>376</v>
      </c>
      <c r="D284" s="26" t="s">
        <v>379</v>
      </c>
      <c r="E284" s="57" t="s">
        <v>380</v>
      </c>
      <c r="F284" s="26"/>
      <c r="G284" s="57" t="s">
        <v>76</v>
      </c>
      <c r="H284" s="59">
        <v>186118</v>
      </c>
      <c r="I284" s="26"/>
      <c r="J284" s="26"/>
      <c r="K284" s="26"/>
    </row>
    <row r="285" spans="1:11" x14ac:dyDescent="0.25">
      <c r="A285" s="55"/>
      <c r="B285" s="26">
        <v>8</v>
      </c>
      <c r="C285" s="26" t="s">
        <v>376</v>
      </c>
      <c r="D285" s="26" t="s">
        <v>379</v>
      </c>
      <c r="E285" s="57" t="s">
        <v>381</v>
      </c>
      <c r="F285" s="26"/>
      <c r="G285" s="57" t="s">
        <v>76</v>
      </c>
      <c r="H285" s="59">
        <v>186118</v>
      </c>
      <c r="I285" s="26"/>
      <c r="J285" s="26"/>
      <c r="K285" s="26"/>
    </row>
    <row r="286" spans="1:11" x14ac:dyDescent="0.25">
      <c r="A286" s="55"/>
      <c r="B286" s="26">
        <v>8</v>
      </c>
      <c r="C286" s="26" t="s">
        <v>376</v>
      </c>
      <c r="D286" s="26" t="s">
        <v>382</v>
      </c>
      <c r="E286" s="57" t="s">
        <v>103</v>
      </c>
      <c r="F286" s="26"/>
      <c r="G286" s="57" t="s">
        <v>103</v>
      </c>
      <c r="H286" s="26"/>
      <c r="I286" s="26"/>
      <c r="J286" s="26"/>
      <c r="K286" s="26"/>
    </row>
    <row r="287" spans="1:11" x14ac:dyDescent="0.25">
      <c r="A287" s="55"/>
      <c r="B287" s="26">
        <v>8</v>
      </c>
      <c r="C287" s="26" t="s">
        <v>376</v>
      </c>
      <c r="D287" s="26" t="s">
        <v>383</v>
      </c>
      <c r="E287" s="57" t="s">
        <v>103</v>
      </c>
      <c r="F287" s="26"/>
      <c r="G287" s="57" t="s">
        <v>103</v>
      </c>
      <c r="H287" s="26"/>
      <c r="I287" s="26"/>
      <c r="J287" s="26"/>
      <c r="K287" s="26"/>
    </row>
    <row r="288" spans="1:11" x14ac:dyDescent="0.25">
      <c r="A288" s="55"/>
      <c r="B288" s="26">
        <v>8</v>
      </c>
      <c r="C288" s="26" t="s">
        <v>376</v>
      </c>
      <c r="D288" s="26" t="s">
        <v>384</v>
      </c>
      <c r="E288" s="57" t="s">
        <v>103</v>
      </c>
      <c r="F288" s="26"/>
      <c r="G288" s="57" t="s">
        <v>103</v>
      </c>
      <c r="H288" s="26"/>
      <c r="I288" s="26"/>
      <c r="J288" s="26"/>
      <c r="K288" s="26"/>
    </row>
    <row r="289" spans="1:11" x14ac:dyDescent="0.25">
      <c r="A289" s="55"/>
      <c r="B289" s="26">
        <v>8</v>
      </c>
      <c r="C289" s="26" t="s">
        <v>376</v>
      </c>
      <c r="D289" s="26" t="s">
        <v>385</v>
      </c>
      <c r="E289" s="57" t="s">
        <v>103</v>
      </c>
      <c r="F289" s="26"/>
      <c r="G289" s="57" t="s">
        <v>103</v>
      </c>
      <c r="H289" s="26"/>
      <c r="I289" s="26"/>
      <c r="J289" s="26"/>
      <c r="K289" s="26"/>
    </row>
    <row r="290" spans="1:11" x14ac:dyDescent="0.25">
      <c r="A290" s="55"/>
      <c r="B290" s="26">
        <v>8</v>
      </c>
      <c r="C290" s="26" t="s">
        <v>376</v>
      </c>
      <c r="D290" s="26" t="s">
        <v>386</v>
      </c>
      <c r="E290" s="57" t="s">
        <v>103</v>
      </c>
      <c r="F290" s="26"/>
      <c r="G290" s="57" t="s">
        <v>103</v>
      </c>
      <c r="H290" s="26"/>
      <c r="I290" s="26"/>
      <c r="J290" s="26"/>
      <c r="K290" s="26"/>
    </row>
    <row r="291" spans="1:11" x14ac:dyDescent="0.25">
      <c r="A291" s="55"/>
      <c r="B291" s="26">
        <v>8</v>
      </c>
      <c r="C291" s="26" t="s">
        <v>376</v>
      </c>
      <c r="D291" s="26" t="s">
        <v>387</v>
      </c>
      <c r="E291" s="57" t="s">
        <v>103</v>
      </c>
      <c r="F291" s="26"/>
      <c r="G291" s="57" t="s">
        <v>103</v>
      </c>
      <c r="H291" s="26"/>
      <c r="I291" s="26"/>
      <c r="J291" s="26"/>
      <c r="K291" s="26"/>
    </row>
    <row r="292" spans="1:11" x14ac:dyDescent="0.25">
      <c r="A292" s="55"/>
      <c r="B292" s="26">
        <v>8</v>
      </c>
      <c r="C292" s="26" t="s">
        <v>376</v>
      </c>
      <c r="D292" s="26" t="s">
        <v>388</v>
      </c>
      <c r="E292" s="57" t="s">
        <v>103</v>
      </c>
      <c r="F292" s="26"/>
      <c r="G292" s="57" t="s">
        <v>103</v>
      </c>
      <c r="H292" s="26"/>
      <c r="I292" s="26"/>
      <c r="J292" s="26"/>
      <c r="K292" s="26"/>
    </row>
    <row r="293" spans="1:11" x14ac:dyDescent="0.25">
      <c r="A293" s="55"/>
      <c r="B293" s="26">
        <v>8</v>
      </c>
      <c r="C293" s="26" t="s">
        <v>376</v>
      </c>
      <c r="D293" s="26" t="s">
        <v>389</v>
      </c>
      <c r="E293" s="57" t="s">
        <v>103</v>
      </c>
      <c r="F293" s="26"/>
      <c r="G293" s="57" t="s">
        <v>103</v>
      </c>
      <c r="H293" s="26"/>
      <c r="I293" s="26"/>
      <c r="J293" s="26"/>
      <c r="K293" s="26"/>
    </row>
    <row r="294" spans="1:11" ht="225" x14ac:dyDescent="0.25">
      <c r="A294" s="55"/>
      <c r="B294" s="26">
        <v>1.3</v>
      </c>
      <c r="C294" s="26" t="s">
        <v>390</v>
      </c>
      <c r="D294" s="27" t="s">
        <v>391</v>
      </c>
      <c r="E294" s="57" t="s">
        <v>103</v>
      </c>
      <c r="F294" s="26" t="s">
        <v>392</v>
      </c>
      <c r="G294" s="57" t="s">
        <v>103</v>
      </c>
      <c r="H294" s="26"/>
      <c r="I294" s="26"/>
      <c r="J294" s="26"/>
      <c r="K294" s="26"/>
    </row>
    <row r="295" spans="1:11" ht="409.5" x14ac:dyDescent="0.25">
      <c r="A295" s="55"/>
      <c r="B295" s="26">
        <v>1.3</v>
      </c>
      <c r="C295" s="26" t="s">
        <v>390</v>
      </c>
      <c r="D295" s="28" t="s">
        <v>393</v>
      </c>
      <c r="E295" s="57" t="s">
        <v>19</v>
      </c>
      <c r="F295" s="26" t="s">
        <v>394</v>
      </c>
      <c r="G295" s="57" t="s">
        <v>19</v>
      </c>
      <c r="H295" s="26"/>
      <c r="I295" s="26"/>
      <c r="J295" s="26"/>
      <c r="K295" s="26"/>
    </row>
    <row r="296" spans="1:11" ht="150" x14ac:dyDescent="0.25">
      <c r="A296" s="55"/>
      <c r="B296" s="26">
        <v>1.3</v>
      </c>
      <c r="C296" s="26" t="s">
        <v>395</v>
      </c>
      <c r="D296" s="28" t="s">
        <v>396</v>
      </c>
      <c r="E296" s="57" t="s">
        <v>397</v>
      </c>
      <c r="F296" s="26"/>
      <c r="G296" s="57" t="s">
        <v>76</v>
      </c>
      <c r="H296" s="26"/>
      <c r="I296" s="26"/>
      <c r="J296" s="26"/>
      <c r="K296" s="26"/>
    </row>
    <row r="297" spans="1:11" ht="255" x14ac:dyDescent="0.25">
      <c r="A297" s="55"/>
      <c r="B297" s="26">
        <v>1.3</v>
      </c>
      <c r="C297" s="26" t="s">
        <v>398</v>
      </c>
      <c r="D297" s="29" t="s">
        <v>399</v>
      </c>
      <c r="E297" s="57" t="s">
        <v>19</v>
      </c>
      <c r="F297" s="26"/>
      <c r="G297" s="57" t="s">
        <v>19</v>
      </c>
      <c r="H297" s="26"/>
      <c r="I297" s="26"/>
      <c r="J297" s="26"/>
      <c r="K297" s="26"/>
    </row>
    <row r="298" spans="1:11" ht="285" x14ac:dyDescent="0.25">
      <c r="A298" s="55"/>
      <c r="B298" s="26">
        <v>1.3</v>
      </c>
      <c r="C298" s="26" t="s">
        <v>398</v>
      </c>
      <c r="D298" s="28" t="s">
        <v>400</v>
      </c>
      <c r="E298" s="57" t="s">
        <v>401</v>
      </c>
      <c r="F298" s="26"/>
      <c r="G298" s="57" t="s">
        <v>19</v>
      </c>
      <c r="H298" s="26"/>
      <c r="I298" s="26"/>
      <c r="J298" s="26"/>
      <c r="K298" s="26"/>
    </row>
    <row r="299" spans="1:11" ht="409.5" x14ac:dyDescent="0.25">
      <c r="A299" s="55"/>
      <c r="B299" s="26">
        <v>1.3</v>
      </c>
      <c r="C299" s="26" t="s">
        <v>398</v>
      </c>
      <c r="D299" s="28" t="s">
        <v>402</v>
      </c>
      <c r="E299" s="57" t="s">
        <v>401</v>
      </c>
      <c r="F299" s="26"/>
      <c r="G299" s="57" t="s">
        <v>19</v>
      </c>
      <c r="H299" s="26"/>
      <c r="I299" s="26"/>
      <c r="J299" s="26"/>
      <c r="K299" s="26"/>
    </row>
    <row r="300" spans="1:11" ht="409.5" x14ac:dyDescent="0.25">
      <c r="A300" s="55"/>
      <c r="B300" s="26">
        <v>1.3</v>
      </c>
      <c r="C300" s="26" t="s">
        <v>398</v>
      </c>
      <c r="D300" s="28" t="s">
        <v>403</v>
      </c>
      <c r="E300" s="57" t="s">
        <v>401</v>
      </c>
      <c r="F300" s="26"/>
      <c r="G300" s="57" t="s">
        <v>19</v>
      </c>
      <c r="H300" s="26"/>
      <c r="I300" s="26"/>
      <c r="J300" s="26"/>
      <c r="K300" s="26"/>
    </row>
    <row r="301" spans="1:11" ht="409.5" x14ac:dyDescent="0.25">
      <c r="A301" s="55"/>
      <c r="B301" s="26">
        <v>1.3</v>
      </c>
      <c r="C301" s="26" t="s">
        <v>398</v>
      </c>
      <c r="D301" s="28" t="s">
        <v>404</v>
      </c>
      <c r="E301" s="57" t="s">
        <v>401</v>
      </c>
      <c r="F301" s="26"/>
      <c r="G301" s="57" t="s">
        <v>19</v>
      </c>
      <c r="H301" s="26"/>
      <c r="I301" s="26"/>
      <c r="J301" s="26"/>
      <c r="K301" s="26"/>
    </row>
    <row r="302" spans="1:11" ht="409.5" x14ac:dyDescent="0.25">
      <c r="A302" s="55"/>
      <c r="B302" s="26">
        <v>1.3</v>
      </c>
      <c r="C302" s="26" t="s">
        <v>398</v>
      </c>
      <c r="D302" s="28" t="s">
        <v>405</v>
      </c>
      <c r="E302" s="57" t="s">
        <v>401</v>
      </c>
      <c r="F302" s="26"/>
      <c r="G302" s="57" t="s">
        <v>19</v>
      </c>
      <c r="H302" s="26"/>
      <c r="I302" s="26"/>
      <c r="J302" s="26"/>
      <c r="K302" s="26"/>
    </row>
    <row r="303" spans="1:11" ht="315" x14ac:dyDescent="0.25">
      <c r="A303" s="55"/>
      <c r="B303" s="26">
        <v>1.3</v>
      </c>
      <c r="C303" s="26" t="s">
        <v>398</v>
      </c>
      <c r="D303" s="28" t="s">
        <v>406</v>
      </c>
      <c r="E303" s="57" t="s">
        <v>401</v>
      </c>
      <c r="F303" s="26"/>
      <c r="G303" s="57" t="s">
        <v>19</v>
      </c>
      <c r="H303" s="26"/>
      <c r="I303" s="26"/>
      <c r="J303" s="26"/>
      <c r="K303" s="26"/>
    </row>
    <row r="304" spans="1:11" ht="409.5" x14ac:dyDescent="0.25">
      <c r="A304" s="55"/>
      <c r="B304" s="26">
        <v>1.3</v>
      </c>
      <c r="C304" s="26" t="s">
        <v>398</v>
      </c>
      <c r="D304" s="28" t="s">
        <v>407</v>
      </c>
      <c r="E304" s="57" t="s">
        <v>401</v>
      </c>
      <c r="F304" s="26"/>
      <c r="G304" s="57" t="s">
        <v>19</v>
      </c>
      <c r="H304" s="26"/>
      <c r="I304" s="26"/>
      <c r="J304" s="26"/>
      <c r="K304" s="26"/>
    </row>
    <row r="305" spans="1:11" ht="330" x14ac:dyDescent="0.25">
      <c r="A305" s="55"/>
      <c r="B305" s="26">
        <v>1.3</v>
      </c>
      <c r="C305" s="26" t="s">
        <v>398</v>
      </c>
      <c r="D305" s="28" t="s">
        <v>408</v>
      </c>
      <c r="E305" s="57" t="s">
        <v>401</v>
      </c>
      <c r="F305" s="26"/>
      <c r="G305" s="57" t="s">
        <v>19</v>
      </c>
      <c r="H305" s="26"/>
      <c r="I305" s="26"/>
      <c r="J305" s="26"/>
      <c r="K305" s="26"/>
    </row>
    <row r="306" spans="1:11" ht="150" x14ac:dyDescent="0.25">
      <c r="A306" s="55"/>
      <c r="B306" s="26">
        <v>1.3</v>
      </c>
      <c r="C306" s="26" t="s">
        <v>398</v>
      </c>
      <c r="D306" s="28" t="s">
        <v>409</v>
      </c>
      <c r="E306" s="57" t="s">
        <v>401</v>
      </c>
      <c r="F306" s="26"/>
      <c r="G306" s="57" t="s">
        <v>19</v>
      </c>
      <c r="H306" s="26"/>
      <c r="I306" s="26"/>
      <c r="J306" s="26"/>
      <c r="K306" s="26"/>
    </row>
    <row r="307" spans="1:11" ht="285" x14ac:dyDescent="0.25">
      <c r="A307" s="55"/>
      <c r="B307" s="26">
        <v>1.3</v>
      </c>
      <c r="C307" s="26" t="s">
        <v>398</v>
      </c>
      <c r="D307" s="28" t="s">
        <v>410</v>
      </c>
      <c r="E307" s="57" t="s">
        <v>401</v>
      </c>
      <c r="F307" s="26"/>
      <c r="G307" s="57" t="s">
        <v>19</v>
      </c>
      <c r="H307" s="26"/>
      <c r="I307" s="26"/>
      <c r="J307" s="26"/>
      <c r="K307" s="26"/>
    </row>
    <row r="308" spans="1:11" ht="195" x14ac:dyDescent="0.25">
      <c r="A308" s="55"/>
      <c r="B308" s="26">
        <v>1.3</v>
      </c>
      <c r="C308" s="26" t="s">
        <v>398</v>
      </c>
      <c r="D308" s="28" t="s">
        <v>411</v>
      </c>
      <c r="E308" s="57" t="s">
        <v>401</v>
      </c>
      <c r="F308" s="26"/>
      <c r="G308" s="57" t="s">
        <v>19</v>
      </c>
      <c r="H308" s="26"/>
      <c r="I308" s="26"/>
      <c r="J308" s="26"/>
      <c r="K308" s="26"/>
    </row>
    <row r="309" spans="1:11" ht="120" x14ac:dyDescent="0.25">
      <c r="A309" s="55"/>
      <c r="B309" s="26">
        <v>1.3</v>
      </c>
      <c r="C309" s="26" t="s">
        <v>398</v>
      </c>
      <c r="D309" s="28" t="s">
        <v>412</v>
      </c>
      <c r="E309" s="57" t="s">
        <v>401</v>
      </c>
      <c r="F309" s="26"/>
      <c r="G309" s="57" t="s">
        <v>19</v>
      </c>
      <c r="H309" s="26"/>
      <c r="I309" s="26"/>
      <c r="J309" s="26"/>
      <c r="K309" s="26"/>
    </row>
    <row r="310" spans="1:11" ht="120" x14ac:dyDescent="0.25">
      <c r="A310" s="55"/>
      <c r="B310" s="26">
        <v>1.3</v>
      </c>
      <c r="C310" s="26" t="s">
        <v>398</v>
      </c>
      <c r="D310" s="28" t="s">
        <v>413</v>
      </c>
      <c r="E310" s="57" t="s">
        <v>401</v>
      </c>
      <c r="F310" s="26"/>
      <c r="G310" s="57" t="s">
        <v>19</v>
      </c>
      <c r="H310" s="26"/>
      <c r="I310" s="26"/>
      <c r="J310" s="26"/>
      <c r="K310" s="26"/>
    </row>
    <row r="311" spans="1:11" ht="210" x14ac:dyDescent="0.25">
      <c r="A311" s="55"/>
      <c r="B311" s="26">
        <v>1.3</v>
      </c>
      <c r="C311" s="26" t="s">
        <v>398</v>
      </c>
      <c r="D311" s="28" t="s">
        <v>414</v>
      </c>
      <c r="E311" s="57" t="s">
        <v>401</v>
      </c>
      <c r="F311" s="26"/>
      <c r="G311" s="57" t="s">
        <v>19</v>
      </c>
      <c r="H311" s="26"/>
      <c r="I311" s="26"/>
      <c r="J311" s="26"/>
      <c r="K311" s="26"/>
    </row>
    <row r="312" spans="1:11" ht="225" x14ac:dyDescent="0.25">
      <c r="A312" s="55"/>
      <c r="B312" s="26">
        <v>1.3</v>
      </c>
      <c r="C312" s="26" t="s">
        <v>398</v>
      </c>
      <c r="D312" s="28" t="s">
        <v>415</v>
      </c>
      <c r="E312" s="57" t="s">
        <v>401</v>
      </c>
      <c r="F312" s="26"/>
      <c r="G312" s="57" t="s">
        <v>19</v>
      </c>
      <c r="H312" s="26"/>
      <c r="I312" s="26"/>
      <c r="J312" s="26"/>
      <c r="K312" s="26"/>
    </row>
    <row r="313" spans="1:11" ht="409.5" x14ac:dyDescent="0.25">
      <c r="A313" s="55"/>
      <c r="B313" s="26">
        <v>1.3</v>
      </c>
      <c r="C313" s="26" t="s">
        <v>398</v>
      </c>
      <c r="D313" s="30" t="s">
        <v>416</v>
      </c>
      <c r="E313" s="57" t="s">
        <v>401</v>
      </c>
      <c r="F313" s="26"/>
      <c r="G313" s="57" t="s">
        <v>19</v>
      </c>
      <c r="H313" s="26"/>
      <c r="I313" s="26"/>
      <c r="J313" s="26"/>
      <c r="K313" s="26"/>
    </row>
    <row r="314" spans="1:11" ht="330" x14ac:dyDescent="0.25">
      <c r="A314" s="55"/>
      <c r="B314" s="26">
        <v>1.3</v>
      </c>
      <c r="C314" s="26" t="s">
        <v>398</v>
      </c>
      <c r="D314" s="28" t="s">
        <v>417</v>
      </c>
      <c r="E314" s="57" t="s">
        <v>401</v>
      </c>
      <c r="F314" s="26"/>
      <c r="G314" s="57" t="s">
        <v>19</v>
      </c>
      <c r="H314" s="26"/>
      <c r="I314" s="26"/>
      <c r="J314" s="26"/>
      <c r="K314" s="26"/>
    </row>
    <row r="315" spans="1:11" ht="409.5" x14ac:dyDescent="0.25">
      <c r="A315" s="55"/>
      <c r="B315" s="26">
        <v>1.3</v>
      </c>
      <c r="C315" s="26" t="s">
        <v>398</v>
      </c>
      <c r="D315" s="28" t="s">
        <v>418</v>
      </c>
      <c r="E315" s="57" t="s">
        <v>401</v>
      </c>
      <c r="F315" s="26"/>
      <c r="G315" s="57" t="s">
        <v>19</v>
      </c>
      <c r="H315" s="26"/>
      <c r="I315" s="26"/>
      <c r="J315" s="26"/>
      <c r="K315" s="26"/>
    </row>
    <row r="316" spans="1:11" ht="409.5" x14ac:dyDescent="0.25">
      <c r="A316" s="55"/>
      <c r="B316" s="26">
        <v>1.3</v>
      </c>
      <c r="C316" s="26" t="s">
        <v>398</v>
      </c>
      <c r="D316" s="28" t="s">
        <v>419</v>
      </c>
      <c r="E316" s="57" t="s">
        <v>401</v>
      </c>
      <c r="F316" s="26"/>
      <c r="G316" s="57" t="s">
        <v>19</v>
      </c>
      <c r="H316" s="26"/>
      <c r="I316" s="26"/>
      <c r="J316" s="26"/>
      <c r="K316" s="26"/>
    </row>
    <row r="317" spans="1:11" ht="255" x14ac:dyDescent="0.25">
      <c r="A317" s="55"/>
      <c r="B317" s="26">
        <v>1.3</v>
      </c>
      <c r="C317" s="26" t="s">
        <v>398</v>
      </c>
      <c r="D317" s="28" t="s">
        <v>420</v>
      </c>
      <c r="E317" s="57" t="s">
        <v>401</v>
      </c>
      <c r="F317" s="26"/>
      <c r="G317" s="57" t="s">
        <v>19</v>
      </c>
      <c r="H317" s="26"/>
      <c r="I317" s="26"/>
      <c r="J317" s="26"/>
      <c r="K317" s="26"/>
    </row>
    <row r="318" spans="1:11" ht="225" x14ac:dyDescent="0.25">
      <c r="A318" s="55"/>
      <c r="B318" s="26">
        <v>1.3</v>
      </c>
      <c r="C318" s="26" t="s">
        <v>398</v>
      </c>
      <c r="D318" s="28" t="s">
        <v>421</v>
      </c>
      <c r="E318" s="57" t="s">
        <v>401</v>
      </c>
      <c r="F318" s="26"/>
      <c r="G318" s="57" t="s">
        <v>19</v>
      </c>
      <c r="H318" s="26"/>
      <c r="I318" s="26"/>
      <c r="J318" s="26"/>
      <c r="K318" s="26"/>
    </row>
    <row r="319" spans="1:11" ht="195" x14ac:dyDescent="0.25">
      <c r="A319" s="55"/>
      <c r="B319" s="26">
        <v>1.3</v>
      </c>
      <c r="C319" s="26" t="s">
        <v>398</v>
      </c>
      <c r="D319" s="28" t="s">
        <v>422</v>
      </c>
      <c r="E319" s="57" t="s">
        <v>401</v>
      </c>
      <c r="F319" s="26"/>
      <c r="G319" s="57" t="s">
        <v>19</v>
      </c>
      <c r="H319" s="26"/>
      <c r="I319" s="26"/>
      <c r="J319" s="26"/>
      <c r="K319" s="26"/>
    </row>
    <row r="320" spans="1:11" ht="409.5" x14ac:dyDescent="0.25">
      <c r="A320" s="55"/>
      <c r="B320" s="26">
        <v>1.3</v>
      </c>
      <c r="C320" s="26" t="s">
        <v>398</v>
      </c>
      <c r="D320" s="28" t="s">
        <v>423</v>
      </c>
      <c r="E320" s="57" t="s">
        <v>401</v>
      </c>
      <c r="F320" s="26"/>
      <c r="G320" s="57" t="s">
        <v>19</v>
      </c>
      <c r="H320" s="26"/>
      <c r="I320" s="26"/>
      <c r="J320" s="26"/>
      <c r="K320" s="26"/>
    </row>
    <row r="321" spans="1:11" ht="375" x14ac:dyDescent="0.25">
      <c r="A321" s="55"/>
      <c r="B321" s="26">
        <v>1.3</v>
      </c>
      <c r="C321" s="26" t="s">
        <v>390</v>
      </c>
      <c r="D321" s="28" t="s">
        <v>424</v>
      </c>
      <c r="E321" s="57" t="s">
        <v>425</v>
      </c>
      <c r="F321" s="26" t="s">
        <v>426</v>
      </c>
      <c r="G321" s="66" t="s">
        <v>76</v>
      </c>
      <c r="H321" s="67">
        <v>187558</v>
      </c>
      <c r="I321" s="26"/>
      <c r="J321" s="26"/>
      <c r="K321" s="26"/>
    </row>
    <row r="322" spans="1:11" ht="375" x14ac:dyDescent="0.25">
      <c r="A322" s="55"/>
      <c r="B322" s="26">
        <v>1.3</v>
      </c>
      <c r="C322" s="26" t="s">
        <v>390</v>
      </c>
      <c r="D322" s="28" t="s">
        <v>424</v>
      </c>
      <c r="E322" s="57" t="s">
        <v>427</v>
      </c>
      <c r="F322" s="26"/>
      <c r="G322" s="66" t="s">
        <v>76</v>
      </c>
      <c r="H322" s="68" t="s">
        <v>428</v>
      </c>
      <c r="I322" s="26"/>
      <c r="J322" s="26"/>
      <c r="K322" s="26"/>
    </row>
    <row r="323" spans="1:11" ht="409.5" x14ac:dyDescent="0.25">
      <c r="A323" s="55"/>
      <c r="B323" s="26">
        <v>1.3</v>
      </c>
      <c r="C323" s="26" t="s">
        <v>429</v>
      </c>
      <c r="D323" s="28" t="s">
        <v>430</v>
      </c>
      <c r="E323" s="57" t="s">
        <v>345</v>
      </c>
      <c r="F323" s="26"/>
      <c r="G323" s="57" t="s">
        <v>76</v>
      </c>
      <c r="H323" s="26"/>
      <c r="I323" s="26"/>
      <c r="J323" s="26"/>
      <c r="K323" s="26"/>
    </row>
    <row r="324" spans="1:11" ht="195" x14ac:dyDescent="0.25">
      <c r="A324" s="55"/>
      <c r="B324" s="26">
        <v>1.3</v>
      </c>
      <c r="C324" s="26" t="s">
        <v>429</v>
      </c>
      <c r="D324" s="28" t="s">
        <v>431</v>
      </c>
      <c r="E324" s="57" t="s">
        <v>432</v>
      </c>
      <c r="F324" s="26"/>
      <c r="G324" s="57" t="s">
        <v>76</v>
      </c>
      <c r="H324" s="26"/>
      <c r="I324" s="26"/>
      <c r="J324" s="26"/>
      <c r="K324" s="26"/>
    </row>
    <row r="325" spans="1:11" ht="270" x14ac:dyDescent="0.25">
      <c r="A325" s="55"/>
      <c r="B325" s="26">
        <v>1.3</v>
      </c>
      <c r="C325" s="26" t="s">
        <v>429</v>
      </c>
      <c r="D325" s="28" t="s">
        <v>433</v>
      </c>
      <c r="E325" s="57" t="s">
        <v>434</v>
      </c>
      <c r="F325" s="48" t="s">
        <v>435</v>
      </c>
      <c r="G325" s="57" t="s">
        <v>126</v>
      </c>
      <c r="H325" s="26"/>
      <c r="I325" s="26"/>
      <c r="J325" s="26"/>
      <c r="K325" s="26"/>
    </row>
    <row r="326" spans="1:11" ht="270" x14ac:dyDescent="0.25">
      <c r="A326" s="55"/>
      <c r="B326" s="26">
        <v>1.3</v>
      </c>
      <c r="C326" s="26" t="s">
        <v>429</v>
      </c>
      <c r="D326" s="28" t="s">
        <v>433</v>
      </c>
      <c r="E326" s="57" t="s">
        <v>436</v>
      </c>
      <c r="F326" s="26"/>
      <c r="G326" s="57" t="s">
        <v>76</v>
      </c>
      <c r="H326" s="26"/>
      <c r="I326" s="26"/>
      <c r="J326" s="26"/>
      <c r="K326" s="26"/>
    </row>
    <row r="327" spans="1:11" ht="409.5" x14ac:dyDescent="0.25">
      <c r="A327" s="55"/>
      <c r="B327" s="26">
        <v>1.3</v>
      </c>
      <c r="C327" s="26" t="s">
        <v>437</v>
      </c>
      <c r="D327" s="28" t="s">
        <v>438</v>
      </c>
      <c r="E327" s="57" t="s">
        <v>439</v>
      </c>
      <c r="F327" s="26"/>
      <c r="G327" s="57" t="s">
        <v>76</v>
      </c>
      <c r="H327" s="26"/>
      <c r="I327" s="26"/>
      <c r="J327" s="26"/>
      <c r="K327" s="26"/>
    </row>
    <row r="328" spans="1:11" ht="409.5" x14ac:dyDescent="0.25">
      <c r="A328" s="55"/>
      <c r="B328" s="26">
        <v>1.3</v>
      </c>
      <c r="C328" s="26" t="s">
        <v>437</v>
      </c>
      <c r="D328" s="28" t="s">
        <v>438</v>
      </c>
      <c r="E328" s="57" t="s">
        <v>440</v>
      </c>
      <c r="F328" s="51"/>
      <c r="G328" s="57" t="s">
        <v>76</v>
      </c>
      <c r="H328" s="26"/>
      <c r="I328" s="26"/>
      <c r="J328" s="26"/>
      <c r="K328" s="26"/>
    </row>
    <row r="329" spans="1:11" ht="210" x14ac:dyDescent="0.25">
      <c r="A329" s="55"/>
      <c r="B329" s="26">
        <v>1.3</v>
      </c>
      <c r="C329" s="26" t="s">
        <v>441</v>
      </c>
      <c r="D329" s="28" t="s">
        <v>442</v>
      </c>
      <c r="E329" s="57" t="s">
        <v>443</v>
      </c>
      <c r="F329" s="51"/>
      <c r="G329" s="57" t="s">
        <v>88</v>
      </c>
      <c r="H329" s="46">
        <v>189540</v>
      </c>
      <c r="I329" s="26"/>
      <c r="J329" s="26"/>
      <c r="K329" s="26"/>
    </row>
    <row r="330" spans="1:11" ht="409.5" x14ac:dyDescent="0.25">
      <c r="A330" s="55"/>
      <c r="B330" s="26">
        <v>1.3</v>
      </c>
      <c r="C330" s="26" t="s">
        <v>441</v>
      </c>
      <c r="D330" s="28" t="s">
        <v>444</v>
      </c>
      <c r="E330" s="57" t="s">
        <v>87</v>
      </c>
      <c r="F330" s="51"/>
      <c r="G330" s="57" t="s">
        <v>88</v>
      </c>
      <c r="H330" s="60" t="s">
        <v>89</v>
      </c>
      <c r="I330" s="26"/>
      <c r="J330" s="61">
        <v>42747</v>
      </c>
      <c r="K330" s="26"/>
    </row>
    <row r="331" spans="1:11" ht="409.5" x14ac:dyDescent="0.25">
      <c r="A331" s="55"/>
      <c r="B331" s="26">
        <v>1.3</v>
      </c>
      <c r="C331" s="26" t="s">
        <v>441</v>
      </c>
      <c r="D331" s="28" t="s">
        <v>445</v>
      </c>
      <c r="E331" s="57" t="s">
        <v>446</v>
      </c>
      <c r="F331" s="51"/>
      <c r="G331" s="57" t="s">
        <v>136</v>
      </c>
      <c r="H331" s="46">
        <v>189540</v>
      </c>
      <c r="I331" s="26"/>
      <c r="J331" s="26"/>
      <c r="K331" s="26"/>
    </row>
    <row r="332" spans="1:11" ht="409.5" x14ac:dyDescent="0.25">
      <c r="A332" s="55"/>
      <c r="B332" s="26">
        <v>1.3</v>
      </c>
      <c r="C332" s="26" t="s">
        <v>441</v>
      </c>
      <c r="D332" s="28" t="s">
        <v>445</v>
      </c>
      <c r="E332" s="57" t="s">
        <v>87</v>
      </c>
      <c r="F332" s="51"/>
      <c r="G332" s="57" t="s">
        <v>88</v>
      </c>
      <c r="H332" s="60" t="s">
        <v>89</v>
      </c>
      <c r="I332" s="26"/>
      <c r="J332" s="61">
        <v>42747</v>
      </c>
      <c r="K332" s="26"/>
    </row>
    <row r="333" spans="1:11" ht="409.5" x14ac:dyDescent="0.25">
      <c r="A333" s="55"/>
      <c r="B333" s="26">
        <v>1.3</v>
      </c>
      <c r="C333" s="26" t="s">
        <v>441</v>
      </c>
      <c r="D333" s="28" t="s">
        <v>447</v>
      </c>
      <c r="E333" s="57" t="s">
        <v>448</v>
      </c>
      <c r="F333" s="51"/>
      <c r="G333" s="57" t="s">
        <v>136</v>
      </c>
      <c r="H333" s="60">
        <v>189541</v>
      </c>
      <c r="I333" s="26" t="s">
        <v>90</v>
      </c>
      <c r="J333" s="61">
        <v>42747</v>
      </c>
      <c r="K333" s="26"/>
    </row>
    <row r="334" spans="1:11" ht="285" x14ac:dyDescent="0.25">
      <c r="A334" s="55"/>
      <c r="B334" s="26">
        <v>1.3</v>
      </c>
      <c r="C334" s="26" t="s">
        <v>441</v>
      </c>
      <c r="D334" s="28" t="s">
        <v>449</v>
      </c>
      <c r="E334" s="57" t="s">
        <v>450</v>
      </c>
      <c r="F334" s="51"/>
      <c r="G334" s="57" t="s">
        <v>136</v>
      </c>
      <c r="H334" s="46">
        <v>189540</v>
      </c>
      <c r="I334" s="26"/>
      <c r="J334" s="26"/>
      <c r="K334" s="26"/>
    </row>
    <row r="335" spans="1:11" ht="315" x14ac:dyDescent="0.25">
      <c r="A335" s="55"/>
      <c r="B335" s="26">
        <v>1.3</v>
      </c>
      <c r="C335" s="26" t="s">
        <v>441</v>
      </c>
      <c r="D335" s="28" t="s">
        <v>451</v>
      </c>
      <c r="E335" s="57" t="s">
        <v>452</v>
      </c>
      <c r="F335" s="51"/>
      <c r="G335" s="57" t="s">
        <v>76</v>
      </c>
      <c r="H335" s="26"/>
      <c r="I335" s="26"/>
      <c r="J335" s="26"/>
      <c r="K335" s="26"/>
    </row>
    <row r="336" spans="1:11" ht="315" x14ac:dyDescent="0.25">
      <c r="A336" s="55"/>
      <c r="B336" s="26">
        <v>1.3</v>
      </c>
      <c r="C336" s="26" t="s">
        <v>441</v>
      </c>
      <c r="D336" s="28" t="s">
        <v>451</v>
      </c>
      <c r="E336" s="57" t="s">
        <v>453</v>
      </c>
      <c r="F336" s="51"/>
      <c r="G336" s="57" t="s">
        <v>76</v>
      </c>
      <c r="H336" s="26"/>
      <c r="I336" s="26"/>
      <c r="J336" s="26"/>
      <c r="K336" s="26"/>
    </row>
    <row r="337" spans="1:11" ht="195" x14ac:dyDescent="0.25">
      <c r="A337" s="55"/>
      <c r="B337" s="26">
        <v>1.3</v>
      </c>
      <c r="C337" s="26" t="s">
        <v>441</v>
      </c>
      <c r="D337" s="28" t="s">
        <v>454</v>
      </c>
      <c r="E337" s="57" t="s">
        <v>455</v>
      </c>
      <c r="F337" s="51"/>
      <c r="G337" s="57" t="s">
        <v>39</v>
      </c>
      <c r="H337" s="26"/>
      <c r="I337" s="26"/>
      <c r="J337" s="26"/>
      <c r="K337" s="26"/>
    </row>
    <row r="338" spans="1:11" ht="409.5" x14ac:dyDescent="0.25">
      <c r="A338" s="55"/>
      <c r="B338" s="26">
        <v>1.3</v>
      </c>
      <c r="C338" s="26" t="s">
        <v>441</v>
      </c>
      <c r="D338" s="28" t="s">
        <v>456</v>
      </c>
      <c r="E338" s="57" t="s">
        <v>457</v>
      </c>
      <c r="F338" s="51"/>
      <c r="G338" s="57" t="s">
        <v>88</v>
      </c>
      <c r="H338" s="26">
        <v>189552</v>
      </c>
      <c r="I338" s="26"/>
      <c r="J338" s="26"/>
      <c r="K338" s="26"/>
    </row>
    <row r="339" spans="1:11" ht="409.5" x14ac:dyDescent="0.25">
      <c r="A339" s="55"/>
      <c r="B339" s="26">
        <v>1.3</v>
      </c>
      <c r="C339" s="26" t="s">
        <v>441</v>
      </c>
      <c r="D339" s="28" t="s">
        <v>456</v>
      </c>
      <c r="E339" s="57" t="s">
        <v>458</v>
      </c>
      <c r="F339" s="51"/>
      <c r="G339" s="57" t="s">
        <v>76</v>
      </c>
      <c r="H339" s="26"/>
      <c r="I339" s="26"/>
      <c r="J339" s="26"/>
      <c r="K339" s="26"/>
    </row>
    <row r="340" spans="1:11" ht="409.5" x14ac:dyDescent="0.25">
      <c r="A340" s="55"/>
      <c r="B340" s="26">
        <v>1.3</v>
      </c>
      <c r="C340" s="26" t="s">
        <v>441</v>
      </c>
      <c r="D340" s="28" t="s">
        <v>459</v>
      </c>
      <c r="E340" s="57" t="s">
        <v>212</v>
      </c>
      <c r="F340" s="51"/>
      <c r="G340" s="57" t="s">
        <v>136</v>
      </c>
      <c r="H340" s="26">
        <v>189552</v>
      </c>
      <c r="I340" s="26"/>
      <c r="J340" s="26"/>
      <c r="K340" s="26"/>
    </row>
    <row r="341" spans="1:11" ht="409.5" x14ac:dyDescent="0.25">
      <c r="A341" s="55"/>
      <c r="B341" s="26">
        <v>1.3</v>
      </c>
      <c r="C341" s="26" t="s">
        <v>441</v>
      </c>
      <c r="D341" s="28" t="s">
        <v>459</v>
      </c>
      <c r="E341" s="57" t="s">
        <v>460</v>
      </c>
      <c r="F341" s="51"/>
      <c r="G341" s="57" t="s">
        <v>76</v>
      </c>
      <c r="H341" s="26"/>
      <c r="I341" s="26"/>
      <c r="J341" s="26"/>
      <c r="K341" s="26"/>
    </row>
    <row r="342" spans="1:11" ht="409.5" x14ac:dyDescent="0.25">
      <c r="A342" s="55"/>
      <c r="B342" s="26">
        <v>1.3</v>
      </c>
      <c r="C342" s="26" t="s">
        <v>390</v>
      </c>
      <c r="D342" s="28" t="s">
        <v>461</v>
      </c>
      <c r="E342" s="57" t="s">
        <v>19</v>
      </c>
      <c r="F342" s="26"/>
      <c r="G342" s="57" t="s">
        <v>19</v>
      </c>
      <c r="H342" s="26"/>
      <c r="I342" s="26"/>
      <c r="J342" s="26"/>
      <c r="K342" s="26"/>
    </row>
    <row r="343" spans="1:11" ht="180" x14ac:dyDescent="0.25">
      <c r="A343" s="55"/>
      <c r="B343" s="26">
        <v>1.3</v>
      </c>
      <c r="C343" s="26" t="s">
        <v>390</v>
      </c>
      <c r="D343" s="27" t="s">
        <v>462</v>
      </c>
      <c r="E343" s="57" t="s">
        <v>33</v>
      </c>
      <c r="F343" s="26"/>
      <c r="G343" s="57" t="s">
        <v>33</v>
      </c>
      <c r="H343" s="26"/>
      <c r="I343" s="26"/>
      <c r="J343" s="26"/>
      <c r="K343" s="26"/>
    </row>
    <row r="344" spans="1:11" ht="300" x14ac:dyDescent="0.25">
      <c r="A344" s="55"/>
      <c r="B344" s="26">
        <v>1.3</v>
      </c>
      <c r="C344" s="26" t="s">
        <v>463</v>
      </c>
      <c r="D344" s="27" t="s">
        <v>464</v>
      </c>
      <c r="E344" s="57" t="s">
        <v>33</v>
      </c>
      <c r="F344" s="26"/>
      <c r="G344" s="57" t="s">
        <v>33</v>
      </c>
      <c r="H344" s="26"/>
      <c r="I344" s="26"/>
      <c r="J344" s="26"/>
      <c r="K344" s="26"/>
    </row>
    <row r="345" spans="1:11" ht="409.5" x14ac:dyDescent="0.25">
      <c r="A345" s="55"/>
      <c r="B345" s="26">
        <v>1.3</v>
      </c>
      <c r="C345" s="26" t="s">
        <v>463</v>
      </c>
      <c r="D345" s="27" t="s">
        <v>465</v>
      </c>
      <c r="E345" s="57" t="s">
        <v>33</v>
      </c>
      <c r="F345" s="26"/>
      <c r="G345" s="57" t="s">
        <v>33</v>
      </c>
      <c r="H345" s="26"/>
      <c r="I345" s="26"/>
      <c r="J345" s="26"/>
      <c r="K345" s="26"/>
    </row>
    <row r="346" spans="1:11" ht="409.5" x14ac:dyDescent="0.25">
      <c r="A346" s="55"/>
      <c r="B346" s="26">
        <v>1.3</v>
      </c>
      <c r="C346" s="26" t="s">
        <v>463</v>
      </c>
      <c r="D346" s="27" t="s">
        <v>466</v>
      </c>
      <c r="E346" s="57" t="s">
        <v>33</v>
      </c>
      <c r="F346" s="26"/>
      <c r="G346" s="57" t="s">
        <v>33</v>
      </c>
      <c r="H346" s="26"/>
      <c r="I346" s="26"/>
      <c r="J346" s="26"/>
      <c r="K346" s="26"/>
    </row>
    <row r="347" spans="1:11" ht="300" x14ac:dyDescent="0.25">
      <c r="A347" s="55"/>
      <c r="B347" s="26">
        <v>1.3</v>
      </c>
      <c r="C347" s="26" t="s">
        <v>463</v>
      </c>
      <c r="D347" s="27" t="s">
        <v>467</v>
      </c>
      <c r="E347" s="57" t="s">
        <v>33</v>
      </c>
      <c r="F347" s="26"/>
      <c r="G347" s="57" t="s">
        <v>33</v>
      </c>
      <c r="H347" s="26"/>
      <c r="I347" s="26"/>
      <c r="J347" s="26"/>
      <c r="K347" s="26"/>
    </row>
    <row r="348" spans="1:11" ht="390" x14ac:dyDescent="0.25">
      <c r="A348" s="55"/>
      <c r="B348" s="26">
        <v>1.3</v>
      </c>
      <c r="C348" s="26" t="s">
        <v>463</v>
      </c>
      <c r="D348" s="27" t="s">
        <v>468</v>
      </c>
      <c r="E348" s="57" t="s">
        <v>33</v>
      </c>
      <c r="F348" s="26"/>
      <c r="G348" s="57" t="s">
        <v>33</v>
      </c>
      <c r="H348" s="26"/>
      <c r="I348" s="26"/>
      <c r="J348" s="26"/>
      <c r="K348" s="26"/>
    </row>
    <row r="349" spans="1:11" ht="300" x14ac:dyDescent="0.25">
      <c r="A349" s="55"/>
      <c r="B349" s="26">
        <v>1.3</v>
      </c>
      <c r="C349" s="26" t="s">
        <v>463</v>
      </c>
      <c r="D349" s="27" t="s">
        <v>469</v>
      </c>
      <c r="E349" s="57" t="s">
        <v>33</v>
      </c>
      <c r="F349" s="26"/>
      <c r="G349" s="57" t="s">
        <v>33</v>
      </c>
      <c r="H349" s="26"/>
      <c r="I349" s="26"/>
      <c r="J349" s="26"/>
      <c r="K349" s="26"/>
    </row>
    <row r="350" spans="1:11" ht="409.5" x14ac:dyDescent="0.25">
      <c r="A350" s="55"/>
      <c r="B350" s="26">
        <v>1.3</v>
      </c>
      <c r="C350" s="26" t="s">
        <v>390</v>
      </c>
      <c r="D350" s="29" t="s">
        <v>470</v>
      </c>
      <c r="E350" s="57" t="s">
        <v>19</v>
      </c>
      <c r="F350" s="26"/>
      <c r="G350" s="57" t="s">
        <v>19</v>
      </c>
      <c r="H350" s="26"/>
      <c r="I350" s="26"/>
      <c r="J350" s="26"/>
      <c r="K350" s="26"/>
    </row>
    <row r="351" spans="1:11" ht="345" x14ac:dyDescent="0.25">
      <c r="A351" s="55"/>
      <c r="B351" s="26">
        <v>1.3</v>
      </c>
      <c r="C351" s="26" t="s">
        <v>390</v>
      </c>
      <c r="D351" s="28" t="s">
        <v>471</v>
      </c>
      <c r="E351" s="57" t="s">
        <v>103</v>
      </c>
      <c r="F351" s="26"/>
      <c r="G351" s="57" t="s">
        <v>103</v>
      </c>
      <c r="H351" s="26"/>
      <c r="I351" s="26"/>
      <c r="J351" s="26"/>
      <c r="K351" s="26"/>
    </row>
    <row r="352" spans="1:11" ht="165" x14ac:dyDescent="0.25">
      <c r="A352" s="55"/>
      <c r="B352" s="26">
        <v>1.3</v>
      </c>
      <c r="C352" s="26" t="s">
        <v>390</v>
      </c>
      <c r="D352" s="28" t="s">
        <v>472</v>
      </c>
      <c r="E352" s="57" t="s">
        <v>33</v>
      </c>
      <c r="F352" s="26"/>
      <c r="G352" s="57" t="s">
        <v>33</v>
      </c>
      <c r="H352" s="26"/>
      <c r="I352" s="26"/>
      <c r="J352" s="26"/>
      <c r="K352" s="26"/>
    </row>
    <row r="353" spans="1:11" ht="409.5" x14ac:dyDescent="0.25">
      <c r="A353" s="55"/>
      <c r="B353" s="26">
        <v>1.3</v>
      </c>
      <c r="C353" s="26" t="s">
        <v>390</v>
      </c>
      <c r="D353" s="28" t="s">
        <v>473</v>
      </c>
      <c r="E353" s="57" t="s">
        <v>19</v>
      </c>
      <c r="F353" s="26"/>
      <c r="G353" s="57" t="s">
        <v>19</v>
      </c>
      <c r="H353" s="26"/>
      <c r="I353" s="26"/>
      <c r="J353" s="26"/>
      <c r="K353" s="26"/>
    </row>
    <row r="354" spans="1:11" x14ac:dyDescent="0.25">
      <c r="A354" s="55"/>
      <c r="B354" s="26">
        <v>4.0999999999999996</v>
      </c>
      <c r="C354" s="26" t="s">
        <v>474</v>
      </c>
      <c r="D354" s="26" t="s">
        <v>475</v>
      </c>
      <c r="E354" s="57" t="s">
        <v>178</v>
      </c>
      <c r="F354" s="26"/>
      <c r="G354" s="57" t="s">
        <v>76</v>
      </c>
      <c r="H354" s="26"/>
      <c r="I354" s="26"/>
      <c r="J354" s="26"/>
      <c r="K354" s="26"/>
    </row>
    <row r="355" spans="1:11" x14ac:dyDescent="0.25">
      <c r="A355" s="55"/>
      <c r="B355" s="26">
        <v>4.0999999999999996</v>
      </c>
      <c r="C355" s="26" t="s">
        <v>474</v>
      </c>
      <c r="D355" s="26" t="s">
        <v>475</v>
      </c>
      <c r="E355" s="57" t="s">
        <v>476</v>
      </c>
      <c r="F355" s="26"/>
      <c r="G355" s="57" t="s">
        <v>76</v>
      </c>
      <c r="H355" s="26"/>
      <c r="I355" s="26"/>
      <c r="J355" s="26"/>
      <c r="K355" s="26"/>
    </row>
    <row r="356" spans="1:11" x14ac:dyDescent="0.25">
      <c r="A356" s="55"/>
      <c r="B356" s="26">
        <v>4.0999999999999996</v>
      </c>
      <c r="C356" s="26" t="s">
        <v>474</v>
      </c>
      <c r="D356" s="26" t="s">
        <v>475</v>
      </c>
      <c r="E356" s="57" t="s">
        <v>477</v>
      </c>
      <c r="F356" s="26"/>
      <c r="G356" s="57" t="s">
        <v>76</v>
      </c>
      <c r="H356" s="26"/>
      <c r="I356" s="26"/>
      <c r="J356" s="26"/>
      <c r="K356" s="26"/>
    </row>
    <row r="357" spans="1:11" x14ac:dyDescent="0.25">
      <c r="A357" s="55"/>
      <c r="B357" s="26">
        <v>4.0999999999999996</v>
      </c>
      <c r="C357" s="26" t="s">
        <v>474</v>
      </c>
      <c r="D357" s="26" t="s">
        <v>475</v>
      </c>
      <c r="E357" s="57" t="s">
        <v>478</v>
      </c>
      <c r="F357" s="26"/>
      <c r="G357" s="57" t="s">
        <v>76</v>
      </c>
      <c r="H357" s="26"/>
      <c r="I357" s="26"/>
      <c r="J357" s="26"/>
      <c r="K357" s="26"/>
    </row>
    <row r="358" spans="1:11" x14ac:dyDescent="0.25">
      <c r="A358" s="55"/>
      <c r="B358" s="26">
        <v>4.0999999999999996</v>
      </c>
      <c r="C358" s="26" t="s">
        <v>474</v>
      </c>
      <c r="D358" s="26" t="s">
        <v>475</v>
      </c>
      <c r="E358" s="57" t="s">
        <v>479</v>
      </c>
      <c r="F358" s="26"/>
      <c r="G358" s="57" t="s">
        <v>76</v>
      </c>
      <c r="H358" s="26"/>
      <c r="I358" s="26"/>
      <c r="J358" s="26"/>
      <c r="K358" s="26"/>
    </row>
    <row r="359" spans="1:11" x14ac:dyDescent="0.25">
      <c r="A359" s="55"/>
      <c r="B359" s="26">
        <v>4.0999999999999996</v>
      </c>
      <c r="C359" s="26" t="s">
        <v>474</v>
      </c>
      <c r="D359" s="26" t="s">
        <v>475</v>
      </c>
      <c r="E359" s="57" t="s">
        <v>480</v>
      </c>
      <c r="F359" s="26"/>
      <c r="G359" s="57" t="s">
        <v>76</v>
      </c>
      <c r="H359" s="26"/>
      <c r="I359" s="26"/>
      <c r="J359" s="26"/>
      <c r="K359" s="26"/>
    </row>
    <row r="360" spans="1:11" x14ac:dyDescent="0.25">
      <c r="A360" s="55"/>
      <c r="B360" s="26">
        <v>4.0999999999999996</v>
      </c>
      <c r="C360" s="26" t="s">
        <v>474</v>
      </c>
      <c r="D360" s="26" t="s">
        <v>475</v>
      </c>
      <c r="E360" s="57" t="s">
        <v>481</v>
      </c>
      <c r="F360" s="26"/>
      <c r="G360" s="57" t="s">
        <v>76</v>
      </c>
      <c r="H360" s="26"/>
      <c r="I360" s="26"/>
      <c r="J360" s="26"/>
      <c r="K360" s="26"/>
    </row>
    <row r="361" spans="1:11" x14ac:dyDescent="0.25">
      <c r="A361" s="55"/>
      <c r="B361" s="26">
        <v>4.0999999999999996</v>
      </c>
      <c r="C361" s="26" t="s">
        <v>474</v>
      </c>
      <c r="D361" s="26" t="s">
        <v>475</v>
      </c>
      <c r="E361" s="57" t="s">
        <v>482</v>
      </c>
      <c r="F361" s="26"/>
      <c r="G361" s="57" t="s">
        <v>76</v>
      </c>
      <c r="H361" s="26"/>
      <c r="I361" s="26"/>
      <c r="J361" s="26"/>
      <c r="K361" s="26"/>
    </row>
    <row r="362" spans="1:11" x14ac:dyDescent="0.25">
      <c r="A362" s="55"/>
      <c r="B362" s="26">
        <v>4.0999999999999996</v>
      </c>
      <c r="C362" s="26" t="s">
        <v>474</v>
      </c>
      <c r="D362" s="26" t="s">
        <v>475</v>
      </c>
      <c r="E362" s="57" t="s">
        <v>483</v>
      </c>
      <c r="F362" s="26"/>
      <c r="G362" s="57" t="s">
        <v>76</v>
      </c>
      <c r="H362" s="26"/>
      <c r="I362" s="26"/>
      <c r="J362" s="26"/>
      <c r="K362" s="26"/>
    </row>
    <row r="363" spans="1:11" x14ac:dyDescent="0.25">
      <c r="A363" s="55"/>
      <c r="B363" s="26">
        <v>4.0999999999999996</v>
      </c>
      <c r="C363" s="26" t="s">
        <v>474</v>
      </c>
      <c r="D363" s="26" t="s">
        <v>475</v>
      </c>
      <c r="E363" s="57" t="s">
        <v>484</v>
      </c>
      <c r="F363" s="26"/>
      <c r="G363" s="57" t="s">
        <v>76</v>
      </c>
      <c r="H363" s="26"/>
      <c r="I363" s="26"/>
      <c r="J363" s="26"/>
      <c r="K363" s="26"/>
    </row>
    <row r="364" spans="1:11" x14ac:dyDescent="0.25">
      <c r="A364" s="55"/>
      <c r="B364" s="26">
        <v>4.2</v>
      </c>
      <c r="C364" s="26" t="s">
        <v>485</v>
      </c>
      <c r="D364" s="26" t="s">
        <v>486</v>
      </c>
      <c r="E364" s="57" t="s">
        <v>178</v>
      </c>
      <c r="F364" s="26"/>
      <c r="G364" s="57" t="s">
        <v>76</v>
      </c>
      <c r="H364" s="26"/>
      <c r="I364" s="26"/>
      <c r="J364" s="26"/>
      <c r="K364" s="26"/>
    </row>
    <row r="365" spans="1:11" x14ac:dyDescent="0.25">
      <c r="A365" s="55"/>
      <c r="B365" s="26">
        <v>4.2</v>
      </c>
      <c r="C365" s="26" t="s">
        <v>485</v>
      </c>
      <c r="D365" s="26" t="s">
        <v>486</v>
      </c>
      <c r="E365" s="57" t="s">
        <v>476</v>
      </c>
      <c r="F365" s="26"/>
      <c r="G365" s="57" t="s">
        <v>76</v>
      </c>
      <c r="H365" s="26"/>
      <c r="I365" s="26"/>
      <c r="J365" s="26"/>
      <c r="K365" s="26"/>
    </row>
    <row r="366" spans="1:11" x14ac:dyDescent="0.25">
      <c r="A366" s="55"/>
      <c r="B366" s="26">
        <v>4.2</v>
      </c>
      <c r="C366" s="26" t="s">
        <v>485</v>
      </c>
      <c r="D366" s="26" t="s">
        <v>486</v>
      </c>
      <c r="E366" s="57" t="s">
        <v>477</v>
      </c>
      <c r="F366" s="26"/>
      <c r="G366" s="57" t="s">
        <v>76</v>
      </c>
      <c r="H366" s="26"/>
      <c r="I366" s="26"/>
      <c r="J366" s="26"/>
      <c r="K366" s="26"/>
    </row>
    <row r="367" spans="1:11" x14ac:dyDescent="0.25">
      <c r="A367" s="55"/>
      <c r="B367" s="26">
        <v>4.2</v>
      </c>
      <c r="C367" s="26" t="s">
        <v>485</v>
      </c>
      <c r="D367" s="26" t="s">
        <v>486</v>
      </c>
      <c r="E367" s="57" t="s">
        <v>478</v>
      </c>
      <c r="F367" s="26"/>
      <c r="G367" s="57" t="s">
        <v>76</v>
      </c>
      <c r="H367" s="26"/>
      <c r="I367" s="26"/>
      <c r="J367" s="26"/>
      <c r="K367" s="26"/>
    </row>
    <row r="368" spans="1:11" x14ac:dyDescent="0.25">
      <c r="A368" s="55"/>
      <c r="B368" s="26">
        <v>4.2</v>
      </c>
      <c r="C368" s="26" t="s">
        <v>485</v>
      </c>
      <c r="D368" s="26" t="s">
        <v>486</v>
      </c>
      <c r="E368" s="57" t="s">
        <v>479</v>
      </c>
      <c r="F368" s="26"/>
      <c r="G368" s="57" t="s">
        <v>76</v>
      </c>
      <c r="H368" s="26"/>
      <c r="I368" s="26"/>
      <c r="J368" s="26"/>
      <c r="K368" s="26"/>
    </row>
    <row r="369" spans="1:11" x14ac:dyDescent="0.25">
      <c r="A369" s="55"/>
      <c r="B369" s="26">
        <v>4.2</v>
      </c>
      <c r="C369" s="26" t="s">
        <v>485</v>
      </c>
      <c r="D369" s="26" t="s">
        <v>486</v>
      </c>
      <c r="E369" s="57" t="s">
        <v>480</v>
      </c>
      <c r="F369" s="26"/>
      <c r="G369" s="57" t="s">
        <v>76</v>
      </c>
      <c r="H369" s="26"/>
      <c r="I369" s="26"/>
      <c r="J369" s="26"/>
      <c r="K369" s="26"/>
    </row>
    <row r="370" spans="1:11" x14ac:dyDescent="0.25">
      <c r="A370" s="55"/>
      <c r="B370" s="26">
        <v>4.2</v>
      </c>
      <c r="C370" s="26" t="s">
        <v>485</v>
      </c>
      <c r="D370" s="26" t="s">
        <v>486</v>
      </c>
      <c r="E370" s="57" t="s">
        <v>481</v>
      </c>
      <c r="F370" s="26"/>
      <c r="G370" s="57" t="s">
        <v>76</v>
      </c>
      <c r="H370" s="26"/>
      <c r="I370" s="26"/>
      <c r="J370" s="26"/>
      <c r="K370" s="26"/>
    </row>
    <row r="371" spans="1:11" x14ac:dyDescent="0.25">
      <c r="A371" s="55"/>
      <c r="B371" s="26">
        <v>4.2</v>
      </c>
      <c r="C371" s="26" t="s">
        <v>485</v>
      </c>
      <c r="D371" s="26" t="s">
        <v>486</v>
      </c>
      <c r="E371" s="57" t="s">
        <v>482</v>
      </c>
      <c r="F371" s="26"/>
      <c r="G371" s="57" t="s">
        <v>76</v>
      </c>
      <c r="H371" s="26"/>
      <c r="I371" s="26"/>
      <c r="J371" s="26"/>
      <c r="K371" s="26"/>
    </row>
    <row r="372" spans="1:11" x14ac:dyDescent="0.25">
      <c r="A372" s="55"/>
      <c r="B372" s="26">
        <v>4.2</v>
      </c>
      <c r="C372" s="26" t="s">
        <v>485</v>
      </c>
      <c r="D372" s="26" t="s">
        <v>486</v>
      </c>
      <c r="E372" s="57" t="s">
        <v>483</v>
      </c>
      <c r="F372" s="26"/>
      <c r="G372" s="57" t="s">
        <v>76</v>
      </c>
      <c r="H372" s="26"/>
      <c r="I372" s="26"/>
      <c r="J372" s="26"/>
      <c r="K372" s="26"/>
    </row>
    <row r="373" spans="1:11" x14ac:dyDescent="0.25">
      <c r="A373" s="55"/>
      <c r="B373" s="26">
        <v>4.2</v>
      </c>
      <c r="C373" s="26" t="s">
        <v>485</v>
      </c>
      <c r="D373" s="26" t="s">
        <v>486</v>
      </c>
      <c r="E373" s="57" t="s">
        <v>484</v>
      </c>
      <c r="F373" s="26"/>
      <c r="G373" s="57" t="s">
        <v>76</v>
      </c>
      <c r="H373" s="26"/>
      <c r="I373" s="26"/>
      <c r="J373" s="26"/>
      <c r="K373" s="26"/>
    </row>
    <row r="374" spans="1:11" ht="409.5" x14ac:dyDescent="0.25">
      <c r="A374" s="55"/>
      <c r="B374" s="26">
        <v>4.3</v>
      </c>
      <c r="C374" s="26" t="s">
        <v>487</v>
      </c>
      <c r="D374" s="28" t="s">
        <v>488</v>
      </c>
      <c r="E374" s="57" t="s">
        <v>178</v>
      </c>
      <c r="F374" s="26"/>
      <c r="G374" s="57" t="s">
        <v>76</v>
      </c>
      <c r="H374" s="26"/>
      <c r="I374" s="26"/>
      <c r="J374" s="26"/>
      <c r="K374" s="26"/>
    </row>
    <row r="375" spans="1:11" ht="409.5" x14ac:dyDescent="0.25">
      <c r="A375" s="55"/>
      <c r="B375" s="26">
        <v>4.3</v>
      </c>
      <c r="C375" s="26" t="s">
        <v>487</v>
      </c>
      <c r="D375" s="28" t="s">
        <v>488</v>
      </c>
      <c r="E375" s="57" t="s">
        <v>179</v>
      </c>
      <c r="F375" s="26"/>
      <c r="G375" s="57" t="s">
        <v>76</v>
      </c>
      <c r="H375" s="26"/>
      <c r="I375" s="26"/>
      <c r="J375" s="26"/>
      <c r="K375" s="26"/>
    </row>
    <row r="376" spans="1:11" ht="409.5" x14ac:dyDescent="0.25">
      <c r="A376" s="55"/>
      <c r="B376" s="26">
        <v>4.3</v>
      </c>
      <c r="C376" s="26" t="s">
        <v>487</v>
      </c>
      <c r="D376" s="28" t="s">
        <v>488</v>
      </c>
      <c r="E376" s="57" t="s">
        <v>180</v>
      </c>
      <c r="F376" s="26"/>
      <c r="G376" s="57" t="s">
        <v>76</v>
      </c>
      <c r="H376" s="26"/>
      <c r="I376" s="26"/>
      <c r="J376" s="26"/>
      <c r="K376" s="26"/>
    </row>
    <row r="377" spans="1:11" ht="409.5" x14ac:dyDescent="0.25">
      <c r="A377" s="55"/>
      <c r="B377" s="26">
        <v>4.3</v>
      </c>
      <c r="C377" s="26" t="s">
        <v>487</v>
      </c>
      <c r="D377" s="28" t="s">
        <v>488</v>
      </c>
      <c r="E377" s="57" t="s">
        <v>181</v>
      </c>
      <c r="F377" s="26"/>
      <c r="G377" s="57" t="s">
        <v>76</v>
      </c>
      <c r="H377" s="26"/>
      <c r="I377" s="26"/>
      <c r="J377" s="26"/>
      <c r="K377" s="26"/>
    </row>
    <row r="378" spans="1:11" ht="180" x14ac:dyDescent="0.25">
      <c r="A378" s="55"/>
      <c r="B378" s="26">
        <v>4.4000000000000004</v>
      </c>
      <c r="C378" s="26" t="s">
        <v>489</v>
      </c>
      <c r="D378" s="28" t="s">
        <v>490</v>
      </c>
      <c r="E378" s="57" t="s">
        <v>178</v>
      </c>
      <c r="F378" s="26"/>
      <c r="G378" s="57" t="s">
        <v>76</v>
      </c>
      <c r="H378" s="26"/>
      <c r="I378" s="26"/>
      <c r="J378" s="26"/>
      <c r="K378" s="26"/>
    </row>
    <row r="379" spans="1:11" ht="180" x14ac:dyDescent="0.25">
      <c r="A379" s="55"/>
      <c r="B379" s="26">
        <v>4.4000000000000004</v>
      </c>
      <c r="C379" s="26" t="s">
        <v>489</v>
      </c>
      <c r="D379" s="28" t="s">
        <v>490</v>
      </c>
      <c r="E379" s="57" t="s">
        <v>179</v>
      </c>
      <c r="F379" s="26"/>
      <c r="G379" s="57" t="s">
        <v>76</v>
      </c>
      <c r="H379" s="26"/>
      <c r="I379" s="26"/>
      <c r="J379" s="26"/>
      <c r="K379" s="26"/>
    </row>
    <row r="380" spans="1:11" ht="180" x14ac:dyDescent="0.25">
      <c r="A380" s="55"/>
      <c r="B380" s="26">
        <v>4.4000000000000004</v>
      </c>
      <c r="C380" s="26" t="s">
        <v>489</v>
      </c>
      <c r="D380" s="28" t="s">
        <v>490</v>
      </c>
      <c r="E380" s="57" t="s">
        <v>180</v>
      </c>
      <c r="F380" s="26"/>
      <c r="G380" s="57" t="s">
        <v>76</v>
      </c>
      <c r="H380" s="26"/>
      <c r="I380" s="26"/>
      <c r="J380" s="26"/>
      <c r="K380" s="26"/>
    </row>
    <row r="381" spans="1:11" ht="180" x14ac:dyDescent="0.25">
      <c r="A381" s="55"/>
      <c r="B381" s="26">
        <v>4.4000000000000004</v>
      </c>
      <c r="C381" s="26" t="s">
        <v>489</v>
      </c>
      <c r="D381" s="28" t="s">
        <v>490</v>
      </c>
      <c r="E381" s="57" t="s">
        <v>181</v>
      </c>
      <c r="F381" s="26"/>
      <c r="G381" s="57" t="s">
        <v>76</v>
      </c>
      <c r="H381" s="26"/>
      <c r="I381" s="26"/>
      <c r="J381" s="26"/>
      <c r="K381" s="26"/>
    </row>
    <row r="382" spans="1:11" x14ac:dyDescent="0.25">
      <c r="A382" s="55"/>
      <c r="B382" s="26">
        <v>4.5</v>
      </c>
      <c r="C382" s="26" t="s">
        <v>491</v>
      </c>
      <c r="D382" s="26" t="s">
        <v>492</v>
      </c>
      <c r="E382" s="57" t="s">
        <v>493</v>
      </c>
      <c r="F382" s="26" t="s">
        <v>435</v>
      </c>
      <c r="G382" s="57" t="s">
        <v>126</v>
      </c>
      <c r="H382" s="26"/>
      <c r="I382" s="26"/>
      <c r="J382" s="26"/>
      <c r="K382" s="26"/>
    </row>
    <row r="383" spans="1:11" x14ac:dyDescent="0.25">
      <c r="A383" s="55"/>
      <c r="B383" s="26">
        <v>4.5</v>
      </c>
      <c r="C383" s="26" t="s">
        <v>491</v>
      </c>
      <c r="D383" s="26" t="s">
        <v>492</v>
      </c>
      <c r="E383" s="57" t="s">
        <v>494</v>
      </c>
      <c r="F383" s="26" t="s">
        <v>435</v>
      </c>
      <c r="G383" s="57" t="s">
        <v>126</v>
      </c>
      <c r="H383" s="26"/>
      <c r="I383" s="26"/>
      <c r="J383" s="26"/>
      <c r="K383" s="26"/>
    </row>
    <row r="384" spans="1:11" x14ac:dyDescent="0.25">
      <c r="A384" s="55"/>
      <c r="B384" s="26">
        <v>4.5999999999999996</v>
      </c>
      <c r="C384" s="26" t="s">
        <v>495</v>
      </c>
      <c r="D384" s="26" t="s">
        <v>496</v>
      </c>
      <c r="E384" s="57" t="s">
        <v>497</v>
      </c>
      <c r="F384" s="26"/>
      <c r="G384" s="57" t="s">
        <v>103</v>
      </c>
      <c r="H384" s="26"/>
      <c r="I384" s="26"/>
      <c r="J384" s="26"/>
      <c r="K384" s="26"/>
    </row>
    <row r="385" spans="1:11" x14ac:dyDescent="0.25">
      <c r="A385" s="55"/>
      <c r="B385" s="26">
        <v>4.7</v>
      </c>
      <c r="C385" s="26" t="s">
        <v>498</v>
      </c>
      <c r="D385" s="26" t="s">
        <v>499</v>
      </c>
      <c r="E385" s="57" t="s">
        <v>178</v>
      </c>
      <c r="F385" s="26"/>
      <c r="G385" s="57" t="s">
        <v>76</v>
      </c>
      <c r="H385" s="26"/>
      <c r="I385" s="26"/>
      <c r="J385" s="26"/>
      <c r="K385" s="26"/>
    </row>
    <row r="386" spans="1:11" x14ac:dyDescent="0.25">
      <c r="A386" s="55"/>
      <c r="B386" s="26">
        <v>4.7</v>
      </c>
      <c r="C386" s="26" t="s">
        <v>498</v>
      </c>
      <c r="D386" s="26" t="s">
        <v>499</v>
      </c>
      <c r="E386" s="57" t="s">
        <v>476</v>
      </c>
      <c r="F386" s="26"/>
      <c r="G386" s="57" t="s">
        <v>76</v>
      </c>
      <c r="H386" s="26"/>
      <c r="I386" s="26"/>
      <c r="J386" s="26"/>
      <c r="K386" s="26"/>
    </row>
    <row r="387" spans="1:11" x14ac:dyDescent="0.25">
      <c r="A387" s="55"/>
      <c r="B387" s="26">
        <v>4.7</v>
      </c>
      <c r="C387" s="26" t="s">
        <v>498</v>
      </c>
      <c r="D387" s="26" t="s">
        <v>499</v>
      </c>
      <c r="E387" s="57" t="s">
        <v>477</v>
      </c>
      <c r="F387" s="26"/>
      <c r="G387" s="57" t="s">
        <v>76</v>
      </c>
      <c r="H387" s="26"/>
      <c r="I387" s="26"/>
      <c r="J387" s="26"/>
      <c r="K387" s="26"/>
    </row>
    <row r="388" spans="1:11" x14ac:dyDescent="0.25">
      <c r="A388" s="55"/>
      <c r="B388" s="26">
        <v>4.7</v>
      </c>
      <c r="C388" s="26" t="s">
        <v>498</v>
      </c>
      <c r="D388" s="26" t="s">
        <v>499</v>
      </c>
      <c r="E388" s="57" t="s">
        <v>478</v>
      </c>
      <c r="F388" s="26"/>
      <c r="G388" s="57" t="s">
        <v>76</v>
      </c>
      <c r="H388" s="26"/>
      <c r="I388" s="26"/>
      <c r="J388" s="26"/>
      <c r="K388" s="26"/>
    </row>
    <row r="389" spans="1:11" x14ac:dyDescent="0.25">
      <c r="A389" s="55"/>
      <c r="B389" s="26">
        <v>4.7</v>
      </c>
      <c r="C389" s="26" t="s">
        <v>498</v>
      </c>
      <c r="D389" s="26" t="s">
        <v>499</v>
      </c>
      <c r="E389" s="57" t="s">
        <v>479</v>
      </c>
      <c r="F389" s="26"/>
      <c r="G389" s="57" t="s">
        <v>76</v>
      </c>
      <c r="H389" s="26"/>
      <c r="I389" s="26"/>
      <c r="J389" s="26"/>
      <c r="K389" s="26"/>
    </row>
    <row r="390" spans="1:11" x14ac:dyDescent="0.25">
      <c r="A390" s="55"/>
      <c r="B390" s="26">
        <v>4.7</v>
      </c>
      <c r="C390" s="26" t="s">
        <v>498</v>
      </c>
      <c r="D390" s="26" t="s">
        <v>499</v>
      </c>
      <c r="E390" s="57" t="s">
        <v>480</v>
      </c>
      <c r="F390" s="26"/>
      <c r="G390" s="57" t="s">
        <v>76</v>
      </c>
      <c r="H390" s="26"/>
      <c r="I390" s="26"/>
      <c r="J390" s="26"/>
      <c r="K390" s="26"/>
    </row>
    <row r="391" spans="1:11" x14ac:dyDescent="0.25">
      <c r="A391" s="55"/>
      <c r="B391" s="26">
        <v>4.7</v>
      </c>
      <c r="C391" s="26" t="s">
        <v>498</v>
      </c>
      <c r="D391" s="26" t="s">
        <v>499</v>
      </c>
      <c r="E391" s="57" t="s">
        <v>481</v>
      </c>
      <c r="F391" s="26"/>
      <c r="G391" s="57" t="s">
        <v>76</v>
      </c>
      <c r="H391" s="26"/>
      <c r="I391" s="26"/>
      <c r="J391" s="26"/>
      <c r="K391" s="26"/>
    </row>
    <row r="392" spans="1:11" x14ac:dyDescent="0.25">
      <c r="A392" s="55"/>
      <c r="B392" s="26">
        <v>4.7</v>
      </c>
      <c r="C392" s="26" t="s">
        <v>498</v>
      </c>
      <c r="D392" s="26" t="s">
        <v>499</v>
      </c>
      <c r="E392" s="57" t="s">
        <v>482</v>
      </c>
      <c r="F392" s="26"/>
      <c r="G392" s="57" t="s">
        <v>76</v>
      </c>
      <c r="H392" s="26"/>
      <c r="I392" s="26"/>
      <c r="J392" s="26"/>
      <c r="K392" s="26"/>
    </row>
    <row r="393" spans="1:11" x14ac:dyDescent="0.25">
      <c r="A393" s="55"/>
      <c r="B393" s="26">
        <v>4.7</v>
      </c>
      <c r="C393" s="26" t="s">
        <v>498</v>
      </c>
      <c r="D393" s="26" t="s">
        <v>499</v>
      </c>
      <c r="E393" s="57" t="s">
        <v>483</v>
      </c>
      <c r="F393" s="26"/>
      <c r="G393" s="57" t="s">
        <v>76</v>
      </c>
      <c r="H393" s="26"/>
      <c r="I393" s="26"/>
      <c r="J393" s="26"/>
      <c r="K393" s="26"/>
    </row>
    <row r="394" spans="1:11" x14ac:dyDescent="0.25">
      <c r="A394" s="55"/>
      <c r="B394" s="26">
        <v>4.7</v>
      </c>
      <c r="C394" s="26" t="s">
        <v>498</v>
      </c>
      <c r="D394" s="26" t="s">
        <v>499</v>
      </c>
      <c r="E394" s="57" t="s">
        <v>484</v>
      </c>
      <c r="F394" s="26"/>
      <c r="G394" s="57" t="s">
        <v>76</v>
      </c>
      <c r="H394" s="26"/>
      <c r="I394" s="26"/>
      <c r="J394" s="26"/>
      <c r="K394" s="26"/>
    </row>
    <row r="395" spans="1:11" x14ac:dyDescent="0.25">
      <c r="A395" s="55"/>
      <c r="B395" s="26">
        <v>4.7</v>
      </c>
      <c r="C395" s="26" t="s">
        <v>498</v>
      </c>
      <c r="D395" s="26" t="s">
        <v>500</v>
      </c>
      <c r="E395" s="57" t="s">
        <v>501</v>
      </c>
      <c r="F395" s="26"/>
      <c r="G395" s="57" t="s">
        <v>39</v>
      </c>
      <c r="H395" s="26"/>
      <c r="I395" s="26"/>
      <c r="J395" s="26"/>
      <c r="K395" s="26"/>
    </row>
    <row r="396" spans="1:11" x14ac:dyDescent="0.25">
      <c r="A396" s="55"/>
      <c r="B396" s="26">
        <v>4.7</v>
      </c>
      <c r="C396" s="26" t="s">
        <v>498</v>
      </c>
      <c r="D396" s="26" t="s">
        <v>500</v>
      </c>
      <c r="E396" s="57" t="s">
        <v>502</v>
      </c>
      <c r="F396" s="26"/>
      <c r="G396" s="57" t="s">
        <v>39</v>
      </c>
      <c r="H396" s="26"/>
      <c r="I396" s="26"/>
      <c r="J396" s="26"/>
      <c r="K396" s="26"/>
    </row>
    <row r="397" spans="1:11" x14ac:dyDescent="0.25">
      <c r="A397" s="55"/>
      <c r="B397" s="26">
        <v>4.8</v>
      </c>
      <c r="C397" s="26" t="s">
        <v>503</v>
      </c>
      <c r="D397" s="26" t="s">
        <v>504</v>
      </c>
      <c r="E397" s="57" t="s">
        <v>505</v>
      </c>
      <c r="F397" s="26"/>
      <c r="G397" s="57" t="s">
        <v>76</v>
      </c>
      <c r="H397" s="26"/>
      <c r="I397" s="26"/>
      <c r="J397" s="26"/>
      <c r="K397" s="26"/>
    </row>
    <row r="398" spans="1:11" x14ac:dyDescent="0.25">
      <c r="A398" s="55"/>
      <c r="B398" s="26">
        <v>4.8</v>
      </c>
      <c r="C398" s="26" t="s">
        <v>503</v>
      </c>
      <c r="D398" s="26" t="s">
        <v>504</v>
      </c>
      <c r="E398" s="57" t="s">
        <v>506</v>
      </c>
      <c r="F398" s="26"/>
      <c r="G398" s="57" t="s">
        <v>76</v>
      </c>
      <c r="H398" s="26"/>
      <c r="I398" s="26"/>
      <c r="J398" s="26"/>
      <c r="K398" s="26"/>
    </row>
    <row r="399" spans="1:11" x14ac:dyDescent="0.25">
      <c r="A399" s="55"/>
      <c r="B399" s="26">
        <v>4.8</v>
      </c>
      <c r="C399" s="26" t="s">
        <v>503</v>
      </c>
      <c r="D399" s="26" t="s">
        <v>504</v>
      </c>
      <c r="E399" s="57" t="s">
        <v>98</v>
      </c>
      <c r="F399" s="26"/>
      <c r="G399" s="57" t="s">
        <v>76</v>
      </c>
      <c r="H399" s="26"/>
      <c r="I399" s="26"/>
      <c r="J399" s="26"/>
      <c r="K399" s="26"/>
    </row>
    <row r="400" spans="1:11" x14ac:dyDescent="0.25">
      <c r="A400" s="55"/>
      <c r="B400" s="26">
        <v>4.8</v>
      </c>
      <c r="C400" s="26" t="s">
        <v>503</v>
      </c>
      <c r="D400" s="26" t="s">
        <v>504</v>
      </c>
      <c r="E400" s="57" t="s">
        <v>507</v>
      </c>
      <c r="F400" s="26"/>
      <c r="G400" s="57" t="s">
        <v>76</v>
      </c>
      <c r="H400" s="26"/>
      <c r="I400" s="26"/>
      <c r="J400" s="26"/>
      <c r="K400" s="26"/>
    </row>
    <row r="401" spans="1:11" x14ac:dyDescent="0.25">
      <c r="A401" s="55"/>
      <c r="B401" s="26">
        <v>4.8</v>
      </c>
      <c r="C401" s="26" t="s">
        <v>503</v>
      </c>
      <c r="D401" s="26" t="s">
        <v>508</v>
      </c>
      <c r="E401" s="57" t="s">
        <v>505</v>
      </c>
      <c r="F401" s="26"/>
      <c r="G401" s="57" t="s">
        <v>76</v>
      </c>
      <c r="H401" s="26"/>
      <c r="I401" s="26"/>
      <c r="J401" s="26"/>
      <c r="K401" s="26"/>
    </row>
    <row r="402" spans="1:11" x14ac:dyDescent="0.25">
      <c r="A402" s="55"/>
      <c r="B402" s="26">
        <v>4.8</v>
      </c>
      <c r="C402" s="26" t="s">
        <v>503</v>
      </c>
      <c r="D402" s="26" t="s">
        <v>508</v>
      </c>
      <c r="E402" s="57" t="s">
        <v>506</v>
      </c>
      <c r="F402" s="26"/>
      <c r="G402" s="57" t="s">
        <v>76</v>
      </c>
      <c r="H402" s="26"/>
      <c r="I402" s="26"/>
      <c r="J402" s="26"/>
      <c r="K402" s="26"/>
    </row>
    <row r="403" spans="1:11" x14ac:dyDescent="0.25">
      <c r="A403" s="55"/>
      <c r="B403" s="26">
        <v>4.8</v>
      </c>
      <c r="C403" s="26" t="s">
        <v>503</v>
      </c>
      <c r="D403" s="26" t="s">
        <v>508</v>
      </c>
      <c r="E403" s="57" t="s">
        <v>98</v>
      </c>
      <c r="F403" s="26"/>
      <c r="G403" s="57" t="s">
        <v>76</v>
      </c>
      <c r="H403" s="26"/>
      <c r="I403" s="26"/>
      <c r="J403" s="26"/>
      <c r="K403" s="26"/>
    </row>
    <row r="404" spans="1:11" x14ac:dyDescent="0.25">
      <c r="A404" s="55"/>
      <c r="B404" s="26">
        <v>4.8</v>
      </c>
      <c r="C404" s="26" t="s">
        <v>503</v>
      </c>
      <c r="D404" s="26" t="s">
        <v>508</v>
      </c>
      <c r="E404" s="57" t="s">
        <v>507</v>
      </c>
      <c r="F404" s="26"/>
      <c r="G404" s="57" t="s">
        <v>76</v>
      </c>
      <c r="H404" s="26"/>
      <c r="I404" s="26"/>
      <c r="J404" s="26"/>
      <c r="K404" s="26"/>
    </row>
    <row r="405" spans="1:11" x14ac:dyDescent="0.25">
      <c r="A405" s="55"/>
      <c r="B405" s="26">
        <v>4.9000000000000004</v>
      </c>
      <c r="C405" s="26" t="s">
        <v>509</v>
      </c>
      <c r="D405" s="26" t="s">
        <v>510</v>
      </c>
      <c r="E405" s="57" t="s">
        <v>511</v>
      </c>
      <c r="F405" s="26"/>
      <c r="G405" s="57" t="s">
        <v>19</v>
      </c>
      <c r="H405" s="26"/>
      <c r="I405" s="26"/>
      <c r="J405" s="26"/>
      <c r="K405" s="26"/>
    </row>
    <row r="406" spans="1:11" ht="409.5" x14ac:dyDescent="0.25">
      <c r="A406" s="55"/>
      <c r="B406" s="26">
        <v>4.9000000000000004</v>
      </c>
      <c r="C406" s="26" t="s">
        <v>509</v>
      </c>
      <c r="D406" s="31" t="s">
        <v>512</v>
      </c>
      <c r="E406" s="57" t="s">
        <v>513</v>
      </c>
      <c r="F406" s="47"/>
      <c r="G406" s="57" t="s">
        <v>76</v>
      </c>
      <c r="H406" s="26"/>
      <c r="I406" s="26"/>
      <c r="J406" s="26"/>
      <c r="K406" s="26"/>
    </row>
    <row r="407" spans="1:11" ht="409.5" x14ac:dyDescent="0.25">
      <c r="A407" s="55"/>
      <c r="B407" s="26">
        <v>4.9000000000000004</v>
      </c>
      <c r="C407" s="26" t="s">
        <v>509</v>
      </c>
      <c r="D407" s="31" t="s">
        <v>512</v>
      </c>
      <c r="E407" s="57" t="s">
        <v>514</v>
      </c>
      <c r="F407" s="47"/>
      <c r="G407" s="57" t="s">
        <v>76</v>
      </c>
      <c r="H407" s="26"/>
      <c r="I407" s="26"/>
      <c r="J407" s="26"/>
      <c r="K407" s="26"/>
    </row>
    <row r="408" spans="1:11" ht="409.5" x14ac:dyDescent="0.25">
      <c r="A408" s="55"/>
      <c r="B408" s="26">
        <v>4.9000000000000004</v>
      </c>
      <c r="C408" s="26" t="s">
        <v>509</v>
      </c>
      <c r="D408" s="31" t="s">
        <v>512</v>
      </c>
      <c r="E408" s="57" t="s">
        <v>515</v>
      </c>
      <c r="F408" s="47"/>
      <c r="G408" s="57" t="s">
        <v>76</v>
      </c>
      <c r="H408" s="26"/>
      <c r="I408" s="26"/>
      <c r="J408" s="26"/>
      <c r="K408" s="26"/>
    </row>
    <row r="409" spans="1:11" ht="409.5" x14ac:dyDescent="0.25">
      <c r="A409" s="55"/>
      <c r="B409" s="26">
        <v>4.9000000000000004</v>
      </c>
      <c r="C409" s="26" t="s">
        <v>509</v>
      </c>
      <c r="D409" s="31" t="s">
        <v>512</v>
      </c>
      <c r="E409" s="57" t="s">
        <v>516</v>
      </c>
      <c r="F409" s="47"/>
      <c r="G409" s="57" t="s">
        <v>76</v>
      </c>
      <c r="H409" s="26"/>
      <c r="I409" s="26"/>
      <c r="J409" s="26"/>
      <c r="K409" s="26"/>
    </row>
    <row r="410" spans="1:11" ht="409.5" x14ac:dyDescent="0.25">
      <c r="A410" s="55"/>
      <c r="B410" s="26">
        <v>4.9000000000000004</v>
      </c>
      <c r="C410" s="26" t="s">
        <v>509</v>
      </c>
      <c r="D410" s="31" t="s">
        <v>517</v>
      </c>
      <c r="E410" s="57" t="s">
        <v>518</v>
      </c>
      <c r="F410" s="26"/>
      <c r="G410" s="57" t="s">
        <v>136</v>
      </c>
      <c r="H410" s="26">
        <v>189599</v>
      </c>
      <c r="I410" s="26"/>
      <c r="J410" s="26"/>
      <c r="K410" s="26"/>
    </row>
    <row r="411" spans="1:11" ht="15.75" x14ac:dyDescent="0.25">
      <c r="A411" s="55"/>
      <c r="B411" s="26">
        <v>4.9000000000000004</v>
      </c>
      <c r="C411" s="26" t="s">
        <v>509</v>
      </c>
      <c r="D411" s="32" t="s">
        <v>519</v>
      </c>
      <c r="E411" s="57" t="s">
        <v>516</v>
      </c>
      <c r="F411" s="47"/>
      <c r="G411" s="57" t="s">
        <v>76</v>
      </c>
      <c r="H411" s="26"/>
      <c r="I411" s="61"/>
      <c r="J411" s="26"/>
      <c r="K411" s="26"/>
    </row>
    <row r="412" spans="1:11" x14ac:dyDescent="0.25">
      <c r="A412" s="55"/>
      <c r="B412" s="26">
        <v>4.9000000000000004</v>
      </c>
      <c r="C412" s="26" t="s">
        <v>509</v>
      </c>
      <c r="D412" s="26" t="s">
        <v>520</v>
      </c>
      <c r="E412" s="57" t="s">
        <v>513</v>
      </c>
      <c r="F412" s="47"/>
      <c r="G412" s="57" t="s">
        <v>76</v>
      </c>
      <c r="H412" s="26"/>
      <c r="I412" s="26"/>
      <c r="J412" s="26"/>
      <c r="K412" s="26"/>
    </row>
    <row r="413" spans="1:11" x14ac:dyDescent="0.25">
      <c r="A413" s="55"/>
      <c r="B413" s="26">
        <v>4.9000000000000004</v>
      </c>
      <c r="C413" s="26" t="s">
        <v>509</v>
      </c>
      <c r="D413" s="26" t="s">
        <v>521</v>
      </c>
      <c r="E413" s="57" t="s">
        <v>514</v>
      </c>
      <c r="F413" s="47"/>
      <c r="G413" s="57" t="s">
        <v>76</v>
      </c>
      <c r="H413" s="26"/>
      <c r="I413" s="26"/>
      <c r="J413" s="26"/>
      <c r="K413" s="26"/>
    </row>
    <row r="414" spans="1:11" x14ac:dyDescent="0.25">
      <c r="A414" s="55"/>
      <c r="B414" s="26">
        <v>4.9000000000000004</v>
      </c>
      <c r="C414" s="26" t="s">
        <v>509</v>
      </c>
      <c r="D414" s="26" t="s">
        <v>521</v>
      </c>
      <c r="E414" s="57" t="s">
        <v>515</v>
      </c>
      <c r="F414" s="47"/>
      <c r="G414" s="57" t="s">
        <v>76</v>
      </c>
      <c r="H414" s="26"/>
      <c r="I414" s="26"/>
      <c r="J414" s="26"/>
      <c r="K414" s="26"/>
    </row>
    <row r="415" spans="1:11" x14ac:dyDescent="0.25">
      <c r="A415" s="55"/>
      <c r="B415" s="26">
        <v>4.9000000000000004</v>
      </c>
      <c r="C415" s="26" t="s">
        <v>509</v>
      </c>
      <c r="D415" s="26" t="s">
        <v>522</v>
      </c>
      <c r="E415" s="57" t="s">
        <v>516</v>
      </c>
      <c r="F415" s="47"/>
      <c r="G415" s="57" t="s">
        <v>76</v>
      </c>
      <c r="H415" s="26"/>
      <c r="I415" s="61"/>
      <c r="J415" s="26"/>
      <c r="K415" s="26"/>
    </row>
    <row r="416" spans="1:11" x14ac:dyDescent="0.25">
      <c r="A416" s="55"/>
      <c r="B416" s="26" t="s">
        <v>523</v>
      </c>
      <c r="C416" s="26" t="s">
        <v>524</v>
      </c>
      <c r="D416" s="26" t="s">
        <v>525</v>
      </c>
      <c r="E416" s="57" t="s">
        <v>526</v>
      </c>
      <c r="F416" s="26"/>
      <c r="G416" s="57" t="s">
        <v>39</v>
      </c>
      <c r="H416" s="26"/>
      <c r="I416" s="26"/>
      <c r="J416" s="26"/>
      <c r="K416" s="26"/>
    </row>
    <row r="417" spans="1:11" x14ac:dyDescent="0.25">
      <c r="A417" s="55"/>
      <c r="B417" s="26" t="s">
        <v>523</v>
      </c>
      <c r="C417" s="26" t="s">
        <v>524</v>
      </c>
      <c r="D417" s="26" t="s">
        <v>525</v>
      </c>
      <c r="E417" s="57" t="s">
        <v>527</v>
      </c>
      <c r="F417" s="26"/>
      <c r="G417" s="57" t="s">
        <v>39</v>
      </c>
      <c r="H417" s="26"/>
      <c r="I417" s="26"/>
      <c r="J417" s="26"/>
      <c r="K417" s="26"/>
    </row>
    <row r="418" spans="1:11" x14ac:dyDescent="0.25">
      <c r="A418" s="55"/>
      <c r="B418" s="26" t="s">
        <v>523</v>
      </c>
      <c r="C418" s="26" t="s">
        <v>524</v>
      </c>
      <c r="D418" s="26" t="s">
        <v>528</v>
      </c>
      <c r="E418" s="57" t="s">
        <v>529</v>
      </c>
      <c r="F418" s="26"/>
      <c r="G418" s="57" t="s">
        <v>39</v>
      </c>
      <c r="H418" s="26"/>
      <c r="I418" s="26"/>
      <c r="J418" s="26"/>
      <c r="K418" s="26"/>
    </row>
    <row r="419" spans="1:11" x14ac:dyDescent="0.25">
      <c r="A419" s="55"/>
      <c r="B419" s="26">
        <v>4.1100000000000003</v>
      </c>
      <c r="C419" s="26" t="s">
        <v>530</v>
      </c>
      <c r="D419" s="26" t="s">
        <v>531</v>
      </c>
      <c r="E419" s="57" t="s">
        <v>19</v>
      </c>
      <c r="F419" s="26"/>
      <c r="G419" s="57" t="s">
        <v>19</v>
      </c>
      <c r="H419" s="26"/>
      <c r="I419" s="26"/>
      <c r="J419" s="26"/>
      <c r="K419" s="26"/>
    </row>
    <row r="420" spans="1:11" x14ac:dyDescent="0.25">
      <c r="A420" s="55"/>
      <c r="B420" s="26">
        <v>4.12</v>
      </c>
      <c r="C420" s="26" t="s">
        <v>185</v>
      </c>
      <c r="D420" s="26" t="s">
        <v>532</v>
      </c>
      <c r="E420" s="57" t="s">
        <v>19</v>
      </c>
      <c r="F420" s="26"/>
      <c r="G420" s="57" t="s">
        <v>19</v>
      </c>
      <c r="H420" s="26"/>
      <c r="I420" s="26"/>
      <c r="J420" s="26"/>
      <c r="K420" s="26"/>
    </row>
    <row r="421" spans="1:11" x14ac:dyDescent="0.25">
      <c r="A421" s="55"/>
      <c r="B421" s="26">
        <v>4.13</v>
      </c>
      <c r="C421" s="26" t="s">
        <v>533</v>
      </c>
      <c r="D421" s="26" t="s">
        <v>534</v>
      </c>
      <c r="E421" s="57" t="s">
        <v>33</v>
      </c>
      <c r="F421" s="26"/>
      <c r="G421" s="57" t="s">
        <v>33</v>
      </c>
      <c r="H421" s="26"/>
      <c r="I421" s="26"/>
      <c r="J421" s="26"/>
      <c r="K421" s="26"/>
    </row>
    <row r="422" spans="1:11" x14ac:dyDescent="0.25">
      <c r="A422" s="55"/>
      <c r="B422" s="26">
        <v>4.1399999999999997</v>
      </c>
      <c r="C422" s="26" t="s">
        <v>535</v>
      </c>
      <c r="D422" s="26" t="s">
        <v>536</v>
      </c>
      <c r="E422" s="57" t="s">
        <v>537</v>
      </c>
      <c r="F422" s="26" t="s">
        <v>166</v>
      </c>
      <c r="G422" s="57" t="s">
        <v>76</v>
      </c>
      <c r="H422" s="26"/>
      <c r="I422" s="26"/>
      <c r="J422" s="26"/>
      <c r="K422" s="26"/>
    </row>
    <row r="423" spans="1:11" x14ac:dyDescent="0.25">
      <c r="A423" s="55"/>
      <c r="B423" s="26">
        <v>4.1399999999999997</v>
      </c>
      <c r="C423" s="26" t="s">
        <v>535</v>
      </c>
      <c r="D423" s="26" t="s">
        <v>536</v>
      </c>
      <c r="E423" s="57" t="s">
        <v>538</v>
      </c>
      <c r="F423" s="26"/>
      <c r="G423" s="57" t="s">
        <v>76</v>
      </c>
      <c r="H423" s="26"/>
      <c r="I423" s="26"/>
      <c r="J423" s="26"/>
      <c r="K423" s="26"/>
    </row>
    <row r="424" spans="1:11" x14ac:dyDescent="0.25">
      <c r="A424" s="55"/>
      <c r="B424" s="26">
        <v>4.1399999999999997</v>
      </c>
      <c r="C424" s="26" t="s">
        <v>535</v>
      </c>
      <c r="D424" s="26" t="s">
        <v>536</v>
      </c>
      <c r="E424" s="57" t="s">
        <v>539</v>
      </c>
      <c r="F424" s="26"/>
      <c r="G424" s="57" t="s">
        <v>76</v>
      </c>
      <c r="H424" s="26"/>
      <c r="I424" s="26"/>
      <c r="J424" s="26"/>
      <c r="K424" s="26"/>
    </row>
    <row r="425" spans="1:11" x14ac:dyDescent="0.25">
      <c r="A425" s="55"/>
      <c r="B425" s="26">
        <v>4.1399999999999997</v>
      </c>
      <c r="C425" s="26" t="s">
        <v>535</v>
      </c>
      <c r="D425" s="26" t="s">
        <v>536</v>
      </c>
      <c r="E425" s="57" t="s">
        <v>540</v>
      </c>
      <c r="F425" s="26"/>
      <c r="G425" s="57" t="s">
        <v>76</v>
      </c>
      <c r="H425" s="26"/>
      <c r="I425" s="26"/>
      <c r="J425" s="26"/>
      <c r="K425" s="26"/>
    </row>
    <row r="426" spans="1:11" x14ac:dyDescent="0.25">
      <c r="A426" s="55"/>
      <c r="B426" s="26">
        <v>4.1399999999999997</v>
      </c>
      <c r="C426" s="26" t="s">
        <v>535</v>
      </c>
      <c r="D426" s="26" t="s">
        <v>536</v>
      </c>
      <c r="E426" s="57" t="s">
        <v>541</v>
      </c>
      <c r="F426" s="26"/>
      <c r="G426" s="57" t="s">
        <v>76</v>
      </c>
      <c r="H426" s="26"/>
      <c r="I426" s="26"/>
      <c r="J426" s="26"/>
      <c r="K426" s="26"/>
    </row>
    <row r="427" spans="1:11" x14ac:dyDescent="0.25">
      <c r="A427" s="55"/>
      <c r="B427" s="26">
        <v>4.1399999999999997</v>
      </c>
      <c r="C427" s="26" t="s">
        <v>535</v>
      </c>
      <c r="D427" s="26" t="s">
        <v>536</v>
      </c>
      <c r="E427" s="57" t="s">
        <v>542</v>
      </c>
      <c r="F427" s="26" t="s">
        <v>543</v>
      </c>
      <c r="G427" s="57" t="s">
        <v>19</v>
      </c>
      <c r="H427" s="26"/>
      <c r="I427" s="26"/>
      <c r="J427" s="26"/>
      <c r="K427" s="26"/>
    </row>
    <row r="428" spans="1:11" x14ac:dyDescent="0.25">
      <c r="A428" s="55"/>
      <c r="B428" s="26">
        <v>4.1399999999999997</v>
      </c>
      <c r="C428" s="26" t="s">
        <v>535</v>
      </c>
      <c r="D428" s="26" t="s">
        <v>536</v>
      </c>
      <c r="E428" s="57" t="s">
        <v>544</v>
      </c>
      <c r="F428" s="26" t="s">
        <v>543</v>
      </c>
      <c r="G428" s="57" t="s">
        <v>19</v>
      </c>
      <c r="H428" s="26"/>
      <c r="I428" s="26"/>
      <c r="J428" s="26"/>
      <c r="K428" s="26"/>
    </row>
    <row r="429" spans="1:11" x14ac:dyDescent="0.25">
      <c r="A429" s="55"/>
      <c r="B429" s="26">
        <v>4.1399999999999997</v>
      </c>
      <c r="C429" s="26" t="s">
        <v>535</v>
      </c>
      <c r="D429" s="26" t="s">
        <v>545</v>
      </c>
      <c r="E429" s="57" t="s">
        <v>542</v>
      </c>
      <c r="F429" s="26" t="s">
        <v>543</v>
      </c>
      <c r="G429" s="57" t="s">
        <v>19</v>
      </c>
      <c r="H429" s="26"/>
      <c r="I429" s="26"/>
      <c r="J429" s="26"/>
      <c r="K429" s="26"/>
    </row>
    <row r="430" spans="1:11" x14ac:dyDescent="0.25">
      <c r="A430" s="55"/>
      <c r="B430" s="26">
        <v>4.1399999999999997</v>
      </c>
      <c r="C430" s="26" t="s">
        <v>535</v>
      </c>
      <c r="D430" s="26" t="s">
        <v>545</v>
      </c>
      <c r="E430" s="57" t="s">
        <v>546</v>
      </c>
      <c r="F430" s="26" t="s">
        <v>547</v>
      </c>
      <c r="G430" s="57" t="s">
        <v>39</v>
      </c>
      <c r="H430" s="26"/>
      <c r="I430" s="26"/>
      <c r="J430" s="26"/>
      <c r="K430" s="26"/>
    </row>
    <row r="431" spans="1:11" x14ac:dyDescent="0.25">
      <c r="A431" s="55"/>
      <c r="B431" s="26">
        <v>4.1500000000000004</v>
      </c>
      <c r="C431" s="26" t="s">
        <v>548</v>
      </c>
      <c r="D431" s="26" t="s">
        <v>534</v>
      </c>
      <c r="E431" s="57" t="s">
        <v>33</v>
      </c>
      <c r="F431" s="26"/>
      <c r="G431" s="57" t="s">
        <v>33</v>
      </c>
      <c r="H431" s="26"/>
      <c r="I431" s="26"/>
      <c r="J431" s="26"/>
      <c r="K431" s="26"/>
    </row>
    <row r="432" spans="1:11" x14ac:dyDescent="0.25">
      <c r="A432" s="55"/>
      <c r="B432" s="26">
        <v>4.16</v>
      </c>
      <c r="C432" s="26" t="s">
        <v>549</v>
      </c>
      <c r="D432" s="26" t="s">
        <v>550</v>
      </c>
      <c r="E432" s="57" t="s">
        <v>103</v>
      </c>
      <c r="F432" s="26"/>
      <c r="G432" s="57" t="s">
        <v>103</v>
      </c>
      <c r="H432" s="26"/>
      <c r="I432" s="26"/>
      <c r="J432" s="26"/>
      <c r="K432" s="26"/>
    </row>
    <row r="433" spans="1:11" x14ac:dyDescent="0.25">
      <c r="A433" s="55"/>
      <c r="B433" s="26">
        <v>4.16</v>
      </c>
      <c r="C433" s="26" t="s">
        <v>549</v>
      </c>
      <c r="D433" s="26" t="s">
        <v>551</v>
      </c>
      <c r="E433" s="57" t="s">
        <v>103</v>
      </c>
      <c r="F433" s="26"/>
      <c r="G433" s="57" t="s">
        <v>103</v>
      </c>
      <c r="H433" s="26"/>
      <c r="I433" s="26"/>
      <c r="J433" s="26"/>
      <c r="K433" s="26"/>
    </row>
    <row r="434" spans="1:11" x14ac:dyDescent="0.25">
      <c r="A434" s="55"/>
      <c r="B434" s="26">
        <v>4.16</v>
      </c>
      <c r="C434" s="26" t="s">
        <v>549</v>
      </c>
      <c r="D434" s="26" t="s">
        <v>552</v>
      </c>
      <c r="E434" s="57" t="s">
        <v>103</v>
      </c>
      <c r="F434" s="26"/>
      <c r="G434" s="57" t="s">
        <v>103</v>
      </c>
      <c r="H434" s="26"/>
      <c r="I434" s="26"/>
      <c r="J434" s="26"/>
      <c r="K434" s="26"/>
    </row>
    <row r="435" spans="1:11" x14ac:dyDescent="0.25">
      <c r="A435" s="55"/>
      <c r="B435" s="26">
        <v>4.16</v>
      </c>
      <c r="C435" s="26" t="s">
        <v>549</v>
      </c>
      <c r="D435" s="26" t="s">
        <v>553</v>
      </c>
      <c r="E435" s="57" t="s">
        <v>103</v>
      </c>
      <c r="F435" s="26"/>
      <c r="G435" s="57" t="s">
        <v>103</v>
      </c>
      <c r="H435" s="26"/>
      <c r="I435" s="26"/>
      <c r="J435" s="26"/>
      <c r="K435" s="26"/>
    </row>
    <row r="436" spans="1:11" x14ac:dyDescent="0.25">
      <c r="A436" s="55"/>
      <c r="B436" s="26">
        <v>4.16</v>
      </c>
      <c r="C436" s="26" t="s">
        <v>549</v>
      </c>
      <c r="D436" s="26" t="s">
        <v>554</v>
      </c>
      <c r="E436" s="57" t="s">
        <v>103</v>
      </c>
      <c r="F436" s="26"/>
      <c r="G436" s="57" t="s">
        <v>103</v>
      </c>
      <c r="H436" s="26"/>
      <c r="I436" s="26"/>
      <c r="J436" s="26"/>
      <c r="K436" s="26"/>
    </row>
    <row r="437" spans="1:11" x14ac:dyDescent="0.25">
      <c r="A437" s="55"/>
      <c r="B437" s="26">
        <v>4.16</v>
      </c>
      <c r="C437" s="26" t="s">
        <v>549</v>
      </c>
      <c r="D437" s="26" t="s">
        <v>555</v>
      </c>
      <c r="E437" s="57" t="s">
        <v>103</v>
      </c>
      <c r="F437" s="26"/>
      <c r="G437" s="57" t="s">
        <v>103</v>
      </c>
      <c r="H437" s="26"/>
      <c r="I437" s="26"/>
      <c r="J437" s="26"/>
      <c r="K437" s="26"/>
    </row>
    <row r="438" spans="1:11" x14ac:dyDescent="0.25">
      <c r="A438" s="55"/>
      <c r="B438" s="26">
        <v>4.16</v>
      </c>
      <c r="C438" s="26" t="s">
        <v>549</v>
      </c>
      <c r="D438" s="26" t="s">
        <v>556</v>
      </c>
      <c r="E438" s="57" t="s">
        <v>103</v>
      </c>
      <c r="F438" s="26"/>
      <c r="G438" s="57" t="s">
        <v>103</v>
      </c>
      <c r="H438" s="26"/>
      <c r="I438" s="26"/>
      <c r="J438" s="26"/>
      <c r="K438" s="26"/>
    </row>
    <row r="439" spans="1:11" x14ac:dyDescent="0.25">
      <c r="A439" s="55"/>
      <c r="B439" s="26">
        <v>4.16</v>
      </c>
      <c r="C439" s="26" t="s">
        <v>549</v>
      </c>
      <c r="D439" s="26" t="s">
        <v>557</v>
      </c>
      <c r="E439" s="57" t="s">
        <v>103</v>
      </c>
      <c r="F439" s="26"/>
      <c r="G439" s="57" t="s">
        <v>103</v>
      </c>
      <c r="H439" s="26"/>
      <c r="I439" s="26"/>
      <c r="J439" s="26"/>
      <c r="K439" s="26"/>
    </row>
    <row r="440" spans="1:11" x14ac:dyDescent="0.25">
      <c r="A440" s="55"/>
      <c r="B440" s="26">
        <v>4.16</v>
      </c>
      <c r="C440" s="26" t="s">
        <v>549</v>
      </c>
      <c r="D440" s="26" t="s">
        <v>558</v>
      </c>
      <c r="E440" s="57" t="s">
        <v>103</v>
      </c>
      <c r="F440" s="26"/>
      <c r="G440" s="57" t="s">
        <v>103</v>
      </c>
      <c r="H440" s="26"/>
      <c r="I440" s="26"/>
      <c r="J440" s="26"/>
      <c r="K440" s="26"/>
    </row>
    <row r="441" spans="1:11" ht="409.5" x14ac:dyDescent="0.25">
      <c r="A441" s="55"/>
      <c r="B441" s="26">
        <v>6.11</v>
      </c>
      <c r="C441" s="26" t="s">
        <v>559</v>
      </c>
      <c r="D441" s="28" t="s">
        <v>560</v>
      </c>
      <c r="E441" s="57" t="s">
        <v>561</v>
      </c>
      <c r="F441" s="47"/>
      <c r="G441" s="57" t="s">
        <v>76</v>
      </c>
      <c r="H441" s="26"/>
      <c r="I441" s="26"/>
      <c r="J441" s="26"/>
      <c r="K441" s="26"/>
    </row>
    <row r="442" spans="1:11" ht="409.5" x14ac:dyDescent="0.25">
      <c r="A442" s="55"/>
      <c r="B442" s="26">
        <v>6.11</v>
      </c>
      <c r="C442" s="26" t="s">
        <v>559</v>
      </c>
      <c r="D442" s="28" t="s">
        <v>560</v>
      </c>
      <c r="E442" s="57" t="s">
        <v>562</v>
      </c>
      <c r="F442" s="47"/>
      <c r="G442" s="57" t="s">
        <v>76</v>
      </c>
      <c r="H442" s="26"/>
      <c r="I442" s="26"/>
      <c r="J442" s="26"/>
      <c r="K442" s="26"/>
    </row>
    <row r="443" spans="1:11" ht="409.5" x14ac:dyDescent="0.25">
      <c r="A443" s="55"/>
      <c r="B443" s="26">
        <v>6.11</v>
      </c>
      <c r="C443" s="26" t="s">
        <v>559</v>
      </c>
      <c r="D443" s="28" t="s">
        <v>560</v>
      </c>
      <c r="E443" s="57" t="s">
        <v>563</v>
      </c>
      <c r="F443" s="47"/>
      <c r="G443" s="53" t="s">
        <v>126</v>
      </c>
      <c r="H443" s="53">
        <v>184676</v>
      </c>
      <c r="I443" s="26"/>
      <c r="J443" s="26"/>
      <c r="K443" s="26"/>
    </row>
    <row r="444" spans="1:11" ht="409.5" x14ac:dyDescent="0.25">
      <c r="A444" s="55"/>
      <c r="B444" s="26">
        <v>6.11</v>
      </c>
      <c r="C444" s="26" t="s">
        <v>559</v>
      </c>
      <c r="D444" s="28" t="s">
        <v>560</v>
      </c>
      <c r="E444" s="57" t="s">
        <v>564</v>
      </c>
      <c r="F444" s="47"/>
      <c r="G444" s="57" t="s">
        <v>76</v>
      </c>
      <c r="H444" s="26"/>
      <c r="I444" s="26"/>
      <c r="J444" s="26"/>
      <c r="K444" s="26"/>
    </row>
    <row r="445" spans="1:11" x14ac:dyDescent="0.25">
      <c r="A445" s="55"/>
      <c r="B445" s="26">
        <v>6.11</v>
      </c>
      <c r="C445" s="26" t="s">
        <v>559</v>
      </c>
      <c r="D445" s="26" t="s">
        <v>565</v>
      </c>
      <c r="E445" s="57" t="s">
        <v>566</v>
      </c>
      <c r="F445" s="47"/>
      <c r="G445" s="57" t="s">
        <v>76</v>
      </c>
      <c r="H445" s="26"/>
      <c r="I445" s="26"/>
      <c r="J445" s="26"/>
      <c r="K445" s="26"/>
    </row>
    <row r="446" spans="1:11" x14ac:dyDescent="0.25">
      <c r="A446" s="55"/>
      <c r="B446" s="26">
        <v>6.11</v>
      </c>
      <c r="C446" s="26" t="s">
        <v>559</v>
      </c>
      <c r="D446" s="26" t="s">
        <v>565</v>
      </c>
      <c r="E446" s="57" t="s">
        <v>567</v>
      </c>
      <c r="F446" s="47"/>
      <c r="G446" s="57" t="s">
        <v>76</v>
      </c>
      <c r="H446" s="26"/>
      <c r="I446" s="26"/>
      <c r="J446" s="26"/>
      <c r="K446" s="26"/>
    </row>
    <row r="447" spans="1:11" x14ac:dyDescent="0.25">
      <c r="A447" s="55"/>
      <c r="B447" s="26">
        <v>6.11</v>
      </c>
      <c r="C447" s="26" t="s">
        <v>559</v>
      </c>
      <c r="D447" s="26" t="s">
        <v>565</v>
      </c>
      <c r="E447" s="57" t="s">
        <v>568</v>
      </c>
      <c r="F447" s="47"/>
      <c r="G447" s="57" t="s">
        <v>126</v>
      </c>
      <c r="H447" s="26"/>
      <c r="I447" s="26"/>
      <c r="J447" s="26"/>
      <c r="K447" s="26"/>
    </row>
    <row r="448" spans="1:11" x14ac:dyDescent="0.25">
      <c r="A448" s="55"/>
      <c r="B448" s="26">
        <v>6.11</v>
      </c>
      <c r="C448" s="26" t="s">
        <v>559</v>
      </c>
      <c r="D448" s="26" t="s">
        <v>565</v>
      </c>
      <c r="E448" s="57" t="s">
        <v>569</v>
      </c>
      <c r="F448" s="47"/>
      <c r="G448" s="57" t="s">
        <v>126</v>
      </c>
      <c r="H448" s="26"/>
      <c r="I448" s="26"/>
      <c r="J448" s="26"/>
      <c r="K448" s="26"/>
    </row>
    <row r="449" spans="1:11" x14ac:dyDescent="0.25">
      <c r="A449" s="55"/>
      <c r="B449" s="26">
        <v>6.11</v>
      </c>
      <c r="C449" s="26" t="s">
        <v>559</v>
      </c>
      <c r="D449" s="26" t="s">
        <v>565</v>
      </c>
      <c r="E449" s="57" t="s">
        <v>570</v>
      </c>
      <c r="F449" s="47"/>
      <c r="G449" s="57" t="s">
        <v>126</v>
      </c>
      <c r="H449" s="26"/>
      <c r="I449" s="26"/>
      <c r="J449" s="26"/>
      <c r="K449" s="26"/>
    </row>
    <row r="450" spans="1:11" x14ac:dyDescent="0.25">
      <c r="A450" s="55"/>
      <c r="B450" s="26">
        <v>6.11</v>
      </c>
      <c r="C450" s="26" t="s">
        <v>559</v>
      </c>
      <c r="D450" s="26" t="s">
        <v>565</v>
      </c>
      <c r="E450" s="57" t="s">
        <v>571</v>
      </c>
      <c r="F450" s="47"/>
      <c r="G450" s="57" t="s">
        <v>76</v>
      </c>
      <c r="H450" s="26"/>
      <c r="I450" s="26"/>
      <c r="J450" s="26"/>
      <c r="K450" s="26"/>
    </row>
    <row r="451" spans="1:11" ht="15.75" x14ac:dyDescent="0.25">
      <c r="A451" s="55"/>
      <c r="B451" s="26">
        <v>6.11</v>
      </c>
      <c r="C451" s="26" t="s">
        <v>559</v>
      </c>
      <c r="D451" s="26" t="s">
        <v>565</v>
      </c>
      <c r="E451" s="57" t="s">
        <v>572</v>
      </c>
      <c r="F451" s="47"/>
      <c r="G451" s="57" t="s">
        <v>76</v>
      </c>
      <c r="H451" s="69">
        <v>186550</v>
      </c>
      <c r="I451" s="26"/>
      <c r="J451" s="26"/>
      <c r="K451" s="26"/>
    </row>
    <row r="452" spans="1:11" x14ac:dyDescent="0.25">
      <c r="A452" s="55"/>
      <c r="B452" s="26">
        <v>6.11</v>
      </c>
      <c r="C452" s="26" t="s">
        <v>559</v>
      </c>
      <c r="D452" s="26" t="s">
        <v>565</v>
      </c>
      <c r="E452" s="57" t="s">
        <v>573</v>
      </c>
      <c r="F452" s="47"/>
      <c r="G452" s="57" t="s">
        <v>126</v>
      </c>
      <c r="H452" s="26"/>
      <c r="I452" s="26"/>
      <c r="J452" s="26"/>
      <c r="K452" s="26"/>
    </row>
    <row r="453" spans="1:11" x14ac:dyDescent="0.25">
      <c r="A453" s="55"/>
      <c r="B453" s="26">
        <v>6.11</v>
      </c>
      <c r="C453" s="26" t="s">
        <v>559</v>
      </c>
      <c r="D453" s="26" t="s">
        <v>565</v>
      </c>
      <c r="E453" s="57" t="s">
        <v>574</v>
      </c>
      <c r="F453" s="47"/>
      <c r="G453" s="57" t="s">
        <v>126</v>
      </c>
      <c r="H453" s="26"/>
      <c r="I453" s="26"/>
      <c r="J453" s="26"/>
      <c r="K453" s="26"/>
    </row>
    <row r="454" spans="1:11" x14ac:dyDescent="0.25">
      <c r="A454" s="55"/>
      <c r="B454" s="26">
        <v>6.11</v>
      </c>
      <c r="C454" s="26" t="s">
        <v>559</v>
      </c>
      <c r="D454" s="26" t="s">
        <v>565</v>
      </c>
      <c r="E454" s="57" t="s">
        <v>575</v>
      </c>
      <c r="F454" s="47"/>
      <c r="G454" s="57" t="s">
        <v>126</v>
      </c>
      <c r="H454" s="26"/>
      <c r="I454" s="26"/>
      <c r="J454" s="26"/>
      <c r="K454" s="26"/>
    </row>
    <row r="455" spans="1:11" ht="15.75" x14ac:dyDescent="0.25">
      <c r="A455" s="55"/>
      <c r="B455" s="26">
        <v>6.11</v>
      </c>
      <c r="C455" s="26" t="s">
        <v>559</v>
      </c>
      <c r="D455" s="26" t="s">
        <v>565</v>
      </c>
      <c r="E455" s="57" t="s">
        <v>576</v>
      </c>
      <c r="F455" s="47"/>
      <c r="G455" s="57" t="s">
        <v>126</v>
      </c>
      <c r="H455" s="53">
        <v>186541</v>
      </c>
      <c r="I455" s="26"/>
      <c r="J455" s="26"/>
      <c r="K455" s="26"/>
    </row>
    <row r="456" spans="1:11" x14ac:dyDescent="0.25">
      <c r="A456" s="55"/>
      <c r="B456" s="26">
        <v>6.11</v>
      </c>
      <c r="C456" s="26" t="s">
        <v>559</v>
      </c>
      <c r="D456" s="26" t="s">
        <v>565</v>
      </c>
      <c r="E456" s="57" t="s">
        <v>577</v>
      </c>
      <c r="F456" s="47"/>
      <c r="G456" s="57" t="s">
        <v>126</v>
      </c>
      <c r="H456" s="26"/>
      <c r="I456" s="26"/>
      <c r="J456" s="26"/>
      <c r="K456" s="26"/>
    </row>
    <row r="457" spans="1:11" ht="15.75" x14ac:dyDescent="0.25">
      <c r="A457" s="55"/>
      <c r="B457" s="26">
        <v>6.11</v>
      </c>
      <c r="C457" s="26" t="s">
        <v>559</v>
      </c>
      <c r="D457" s="26" t="s">
        <v>565</v>
      </c>
      <c r="E457" s="57" t="s">
        <v>578</v>
      </c>
      <c r="F457" s="47"/>
      <c r="G457" s="57" t="s">
        <v>126</v>
      </c>
      <c r="H457" s="53">
        <v>186541</v>
      </c>
      <c r="I457" s="26"/>
      <c r="J457" s="26"/>
      <c r="K457" s="26"/>
    </row>
    <row r="458" spans="1:11" x14ac:dyDescent="0.25">
      <c r="A458" s="55"/>
      <c r="B458" s="26">
        <v>6.11</v>
      </c>
      <c r="C458" s="26" t="s">
        <v>559</v>
      </c>
      <c r="D458" s="26" t="s">
        <v>565</v>
      </c>
      <c r="E458" s="57" t="s">
        <v>579</v>
      </c>
      <c r="F458" s="47"/>
      <c r="G458" s="57" t="s">
        <v>126</v>
      </c>
      <c r="H458" s="26"/>
      <c r="I458" s="26"/>
      <c r="J458" s="26"/>
      <c r="K458" s="26"/>
    </row>
    <row r="459" spans="1:11" x14ac:dyDescent="0.25">
      <c r="A459" s="55"/>
      <c r="B459" s="26">
        <v>6.11</v>
      </c>
      <c r="C459" s="26" t="s">
        <v>559</v>
      </c>
      <c r="D459" s="26" t="s">
        <v>565</v>
      </c>
      <c r="E459" s="57" t="s">
        <v>580</v>
      </c>
      <c r="F459" s="47"/>
      <c r="G459" s="57" t="s">
        <v>126</v>
      </c>
      <c r="H459" s="26"/>
      <c r="I459" s="26"/>
      <c r="J459" s="26"/>
      <c r="K459" s="26"/>
    </row>
    <row r="460" spans="1:11" x14ac:dyDescent="0.25">
      <c r="A460" s="55"/>
      <c r="B460" s="26">
        <v>6.11</v>
      </c>
      <c r="C460" s="26" t="s">
        <v>559</v>
      </c>
      <c r="D460" s="26" t="s">
        <v>581</v>
      </c>
      <c r="E460" s="57" t="s">
        <v>582</v>
      </c>
      <c r="F460" s="47"/>
      <c r="G460" s="57" t="s">
        <v>76</v>
      </c>
      <c r="H460" s="26"/>
      <c r="I460" s="26"/>
      <c r="J460" s="26"/>
      <c r="K460" s="26"/>
    </row>
    <row r="461" spans="1:11" x14ac:dyDescent="0.25">
      <c r="A461" s="55"/>
      <c r="B461" s="26">
        <v>6.11</v>
      </c>
      <c r="C461" s="26" t="s">
        <v>559</v>
      </c>
      <c r="D461" s="26" t="s">
        <v>581</v>
      </c>
      <c r="E461" s="57" t="s">
        <v>583</v>
      </c>
      <c r="F461" s="47"/>
      <c r="G461" s="57" t="s">
        <v>76</v>
      </c>
      <c r="H461" s="26"/>
      <c r="I461" s="26"/>
      <c r="J461" s="26"/>
      <c r="K461" s="26"/>
    </row>
    <row r="462" spans="1:11" x14ac:dyDescent="0.25">
      <c r="A462" s="55"/>
      <c r="B462" s="26">
        <v>6.11</v>
      </c>
      <c r="C462" s="26" t="s">
        <v>559</v>
      </c>
      <c r="D462" s="26" t="s">
        <v>581</v>
      </c>
      <c r="E462" s="57" t="s">
        <v>75</v>
      </c>
      <c r="F462" s="47"/>
      <c r="G462" s="57" t="s">
        <v>76</v>
      </c>
      <c r="H462" s="26"/>
      <c r="I462" s="26"/>
      <c r="J462" s="26"/>
      <c r="K462" s="26"/>
    </row>
    <row r="463" spans="1:11" x14ac:dyDescent="0.25">
      <c r="A463" s="55"/>
      <c r="B463" s="26">
        <v>6.11</v>
      </c>
      <c r="C463" s="26" t="s">
        <v>559</v>
      </c>
      <c r="D463" s="26" t="s">
        <v>584</v>
      </c>
      <c r="E463" s="57" t="s">
        <v>582</v>
      </c>
      <c r="F463" s="47"/>
      <c r="G463" s="57" t="s">
        <v>76</v>
      </c>
      <c r="H463" s="26"/>
      <c r="I463" s="26"/>
      <c r="J463" s="26"/>
      <c r="K463" s="26"/>
    </row>
    <row r="464" spans="1:11" x14ac:dyDescent="0.25">
      <c r="A464" s="55"/>
      <c r="B464" s="26">
        <v>6.11</v>
      </c>
      <c r="C464" s="26" t="s">
        <v>559</v>
      </c>
      <c r="D464" s="26" t="s">
        <v>584</v>
      </c>
      <c r="E464" s="57" t="s">
        <v>583</v>
      </c>
      <c r="F464" s="47"/>
      <c r="G464" s="57" t="s">
        <v>76</v>
      </c>
      <c r="H464" s="26"/>
      <c r="I464" s="26"/>
      <c r="J464" s="26"/>
      <c r="K464" s="26"/>
    </row>
    <row r="465" spans="1:11" x14ac:dyDescent="0.25">
      <c r="A465" s="55"/>
      <c r="B465" s="26">
        <v>6.11</v>
      </c>
      <c r="C465" s="26" t="s">
        <v>559</v>
      </c>
      <c r="D465" s="26" t="s">
        <v>584</v>
      </c>
      <c r="E465" s="57" t="s">
        <v>75</v>
      </c>
      <c r="F465" s="47"/>
      <c r="G465" s="57" t="s">
        <v>76</v>
      </c>
      <c r="H465" s="26"/>
      <c r="I465" s="26"/>
      <c r="J465" s="26"/>
      <c r="K465" s="26"/>
    </row>
    <row r="466" spans="1:11" ht="150" x14ac:dyDescent="0.25">
      <c r="A466" s="55"/>
      <c r="B466" s="26">
        <v>6.11</v>
      </c>
      <c r="C466" s="26" t="s">
        <v>559</v>
      </c>
      <c r="D466" s="28" t="s">
        <v>585</v>
      </c>
      <c r="E466" s="57" t="s">
        <v>75</v>
      </c>
      <c r="F466" s="26"/>
      <c r="G466" s="57" t="s">
        <v>76</v>
      </c>
      <c r="H466" s="26"/>
      <c r="I466" s="26"/>
      <c r="J466" s="26"/>
      <c r="K466" s="26"/>
    </row>
    <row r="467" spans="1:11" ht="150" x14ac:dyDescent="0.25">
      <c r="A467" s="55"/>
      <c r="B467" s="26">
        <v>6.11</v>
      </c>
      <c r="C467" s="26" t="s">
        <v>559</v>
      </c>
      <c r="D467" s="28" t="s">
        <v>585</v>
      </c>
      <c r="E467" s="57" t="s">
        <v>586</v>
      </c>
      <c r="F467" s="26"/>
      <c r="G467" s="57" t="s">
        <v>76</v>
      </c>
      <c r="H467" s="26"/>
      <c r="I467" s="26"/>
      <c r="J467" s="26"/>
      <c r="K467" s="26"/>
    </row>
    <row r="468" spans="1:11" ht="150" x14ac:dyDescent="0.25">
      <c r="A468" s="55"/>
      <c r="B468" s="26">
        <v>6.11</v>
      </c>
      <c r="C468" s="26" t="s">
        <v>559</v>
      </c>
      <c r="D468" s="28" t="s">
        <v>585</v>
      </c>
      <c r="E468" s="57" t="s">
        <v>587</v>
      </c>
      <c r="F468" s="26"/>
      <c r="G468" s="57" t="s">
        <v>76</v>
      </c>
      <c r="H468" s="26"/>
      <c r="I468" s="26"/>
      <c r="J468" s="26"/>
      <c r="K468" s="26"/>
    </row>
    <row r="469" spans="1:11" ht="150" x14ac:dyDescent="0.25">
      <c r="A469" s="55"/>
      <c r="B469" s="26">
        <v>6.11</v>
      </c>
      <c r="C469" s="26" t="s">
        <v>559</v>
      </c>
      <c r="D469" s="28" t="s">
        <v>585</v>
      </c>
      <c r="E469" s="57" t="s">
        <v>588</v>
      </c>
      <c r="F469" s="26"/>
      <c r="G469" s="57" t="s">
        <v>76</v>
      </c>
      <c r="H469" s="59">
        <v>184691</v>
      </c>
      <c r="I469" s="26"/>
      <c r="J469" s="26"/>
      <c r="K469" s="26"/>
    </row>
    <row r="470" spans="1:11" ht="150" x14ac:dyDescent="0.25">
      <c r="A470" s="55"/>
      <c r="B470" s="26">
        <v>6.11</v>
      </c>
      <c r="C470" s="26" t="s">
        <v>559</v>
      </c>
      <c r="D470" s="28" t="s">
        <v>585</v>
      </c>
      <c r="E470" s="57" t="s">
        <v>589</v>
      </c>
      <c r="F470" s="26"/>
      <c r="G470" s="57" t="s">
        <v>76</v>
      </c>
      <c r="H470" s="26"/>
      <c r="I470" s="26"/>
      <c r="J470" s="26"/>
      <c r="K470" s="26"/>
    </row>
    <row r="471" spans="1:11" ht="150" x14ac:dyDescent="0.25">
      <c r="A471" s="55"/>
      <c r="B471" s="26">
        <v>6.11</v>
      </c>
      <c r="C471" s="26" t="s">
        <v>559</v>
      </c>
      <c r="D471" s="28" t="s">
        <v>585</v>
      </c>
      <c r="E471" s="57" t="s">
        <v>590</v>
      </c>
      <c r="F471" s="26"/>
      <c r="G471" s="57" t="s">
        <v>76</v>
      </c>
      <c r="H471" s="59">
        <v>183593</v>
      </c>
      <c r="I471" s="26"/>
      <c r="J471" s="26"/>
      <c r="K471" s="26"/>
    </row>
    <row r="472" spans="1:11" ht="150" x14ac:dyDescent="0.25">
      <c r="A472" s="55"/>
      <c r="B472" s="26">
        <v>6.11</v>
      </c>
      <c r="C472" s="26" t="s">
        <v>559</v>
      </c>
      <c r="D472" s="28" t="s">
        <v>585</v>
      </c>
      <c r="E472" s="57" t="s">
        <v>591</v>
      </c>
      <c r="F472" s="26"/>
      <c r="G472" s="57" t="s">
        <v>76</v>
      </c>
      <c r="H472" s="59">
        <v>184698</v>
      </c>
      <c r="I472" s="26"/>
      <c r="J472" s="26"/>
      <c r="K472" s="26"/>
    </row>
    <row r="473" spans="1:11" ht="150" x14ac:dyDescent="0.25">
      <c r="A473" s="55"/>
      <c r="B473" s="26">
        <v>6.11</v>
      </c>
      <c r="C473" s="26" t="s">
        <v>559</v>
      </c>
      <c r="D473" s="28" t="s">
        <v>585</v>
      </c>
      <c r="E473" s="57" t="s">
        <v>592</v>
      </c>
      <c r="F473" s="26"/>
      <c r="G473" s="57" t="s">
        <v>76</v>
      </c>
      <c r="H473" s="26"/>
      <c r="I473" s="26"/>
      <c r="J473" s="26"/>
      <c r="K473" s="26"/>
    </row>
    <row r="474" spans="1:11" ht="150" x14ac:dyDescent="0.25">
      <c r="A474" s="55"/>
      <c r="B474" s="26">
        <v>6.11</v>
      </c>
      <c r="C474" s="26" t="s">
        <v>559</v>
      </c>
      <c r="D474" s="28" t="s">
        <v>585</v>
      </c>
      <c r="E474" s="57" t="s">
        <v>593</v>
      </c>
      <c r="F474" s="26"/>
      <c r="G474" s="57" t="s">
        <v>76</v>
      </c>
      <c r="H474" s="59">
        <v>182160</v>
      </c>
      <c r="I474" s="26"/>
      <c r="J474" s="26"/>
      <c r="K474" s="26"/>
    </row>
    <row r="475" spans="1:11" ht="150" x14ac:dyDescent="0.25">
      <c r="A475" s="55"/>
      <c r="B475" s="26">
        <v>6.11</v>
      </c>
      <c r="C475" s="26" t="s">
        <v>559</v>
      </c>
      <c r="D475" s="28" t="s">
        <v>585</v>
      </c>
      <c r="E475" s="57" t="s">
        <v>594</v>
      </c>
      <c r="F475" s="26"/>
      <c r="G475" s="57" t="s">
        <v>76</v>
      </c>
      <c r="H475" s="70">
        <v>182316</v>
      </c>
      <c r="I475" s="26"/>
      <c r="J475" s="26"/>
      <c r="K475" s="26"/>
    </row>
    <row r="476" spans="1:11" ht="150" x14ac:dyDescent="0.25">
      <c r="A476" s="55"/>
      <c r="B476" s="26">
        <v>6.11</v>
      </c>
      <c r="C476" s="26" t="s">
        <v>559</v>
      </c>
      <c r="D476" s="28" t="s">
        <v>585</v>
      </c>
      <c r="E476" s="57" t="s">
        <v>595</v>
      </c>
      <c r="F476" s="26"/>
      <c r="G476" s="57" t="s">
        <v>76</v>
      </c>
      <c r="H476" s="59">
        <v>184676</v>
      </c>
      <c r="I476" s="26"/>
      <c r="J476" s="26"/>
      <c r="K476" s="26"/>
    </row>
    <row r="477" spans="1:11" ht="15.75" x14ac:dyDescent="0.25">
      <c r="A477" s="55"/>
      <c r="B477" s="26">
        <v>6.11</v>
      </c>
      <c r="C477" s="26" t="s">
        <v>559</v>
      </c>
      <c r="D477" s="26" t="s">
        <v>596</v>
      </c>
      <c r="E477" s="57" t="s">
        <v>597</v>
      </c>
      <c r="F477" s="47"/>
      <c r="G477" s="57" t="s">
        <v>76</v>
      </c>
      <c r="H477" s="69" t="s">
        <v>598</v>
      </c>
      <c r="I477" s="26"/>
      <c r="J477" s="26"/>
      <c r="K477" s="26"/>
    </row>
    <row r="478" spans="1:11" ht="315" x14ac:dyDescent="0.25">
      <c r="A478" s="55"/>
      <c r="B478" s="26">
        <v>6.11</v>
      </c>
      <c r="C478" s="26" t="s">
        <v>559</v>
      </c>
      <c r="D478" s="28" t="s">
        <v>599</v>
      </c>
      <c r="E478" s="57" t="s">
        <v>582</v>
      </c>
      <c r="F478" s="47"/>
      <c r="G478" s="57" t="s">
        <v>76</v>
      </c>
      <c r="H478" s="26"/>
      <c r="I478" s="26"/>
      <c r="J478" s="26"/>
      <c r="K478" s="26"/>
    </row>
    <row r="479" spans="1:11" ht="315" x14ac:dyDescent="0.25">
      <c r="A479" s="55"/>
      <c r="B479" s="26">
        <v>6.11</v>
      </c>
      <c r="C479" s="26" t="s">
        <v>559</v>
      </c>
      <c r="D479" s="28" t="s">
        <v>599</v>
      </c>
      <c r="E479" s="57" t="s">
        <v>583</v>
      </c>
      <c r="F479" s="47"/>
      <c r="G479" s="57" t="s">
        <v>76</v>
      </c>
      <c r="H479" s="26"/>
      <c r="I479" s="26"/>
      <c r="J479" s="26"/>
      <c r="K479" s="26"/>
    </row>
    <row r="480" spans="1:11" ht="315" x14ac:dyDescent="0.25">
      <c r="A480" s="55"/>
      <c r="B480" s="26">
        <v>6.11</v>
      </c>
      <c r="C480" s="26" t="s">
        <v>559</v>
      </c>
      <c r="D480" s="28" t="s">
        <v>599</v>
      </c>
      <c r="E480" s="57" t="s">
        <v>75</v>
      </c>
      <c r="F480" s="47"/>
      <c r="G480" s="57" t="s">
        <v>76</v>
      </c>
      <c r="H480" s="26"/>
      <c r="I480" s="26"/>
      <c r="J480" s="26"/>
      <c r="K480" s="26"/>
    </row>
    <row r="481" spans="1:11" ht="105" x14ac:dyDescent="0.25">
      <c r="A481" s="55"/>
      <c r="B481" s="26">
        <v>6.11</v>
      </c>
      <c r="C481" s="26" t="s">
        <v>559</v>
      </c>
      <c r="D481" s="28" t="s">
        <v>600</v>
      </c>
      <c r="E481" s="57" t="s">
        <v>601</v>
      </c>
      <c r="F481" s="26"/>
      <c r="G481" s="57" t="s">
        <v>76</v>
      </c>
      <c r="H481" s="26"/>
      <c r="I481" s="26"/>
      <c r="J481" s="26"/>
      <c r="K481" s="26"/>
    </row>
    <row r="482" spans="1:11" ht="195" x14ac:dyDescent="0.25">
      <c r="A482" s="55"/>
      <c r="B482" s="26">
        <v>6.11</v>
      </c>
      <c r="C482" s="26" t="s">
        <v>559</v>
      </c>
      <c r="D482" s="28" t="s">
        <v>602</v>
      </c>
      <c r="E482" s="57" t="s">
        <v>582</v>
      </c>
      <c r="F482" s="47"/>
      <c r="G482" s="57" t="s">
        <v>76</v>
      </c>
      <c r="H482" s="26"/>
      <c r="I482" s="26"/>
      <c r="J482" s="26"/>
      <c r="K482" s="26"/>
    </row>
    <row r="483" spans="1:11" ht="195" x14ac:dyDescent="0.25">
      <c r="A483" s="55"/>
      <c r="B483" s="26">
        <v>6.11</v>
      </c>
      <c r="C483" s="26" t="s">
        <v>559</v>
      </c>
      <c r="D483" s="28" t="s">
        <v>602</v>
      </c>
      <c r="E483" s="57" t="s">
        <v>583</v>
      </c>
      <c r="F483" s="47"/>
      <c r="G483" s="57" t="s">
        <v>76</v>
      </c>
      <c r="H483" s="26"/>
      <c r="I483" s="26"/>
      <c r="J483" s="26"/>
      <c r="K483" s="26"/>
    </row>
    <row r="484" spans="1:11" ht="195" x14ac:dyDescent="0.25">
      <c r="A484" s="55"/>
      <c r="B484" s="26">
        <v>6.11</v>
      </c>
      <c r="C484" s="26" t="s">
        <v>559</v>
      </c>
      <c r="D484" s="28" t="s">
        <v>602</v>
      </c>
      <c r="E484" s="57" t="s">
        <v>75</v>
      </c>
      <c r="F484" s="47"/>
      <c r="G484" s="57" t="s">
        <v>76</v>
      </c>
      <c r="H484" s="26"/>
      <c r="I484" s="26"/>
      <c r="J484" s="26"/>
      <c r="K484" s="26"/>
    </row>
    <row r="485" spans="1:11" ht="135" x14ac:dyDescent="0.25">
      <c r="A485" s="55"/>
      <c r="B485" s="26">
        <v>6.11</v>
      </c>
      <c r="C485" s="26" t="s">
        <v>559</v>
      </c>
      <c r="D485" s="28" t="s">
        <v>603</v>
      </c>
      <c r="E485" s="57" t="s">
        <v>588</v>
      </c>
      <c r="F485" s="47"/>
      <c r="G485" s="57" t="s">
        <v>76</v>
      </c>
      <c r="H485" s="59">
        <v>184691</v>
      </c>
      <c r="I485" s="26"/>
      <c r="J485" s="26"/>
      <c r="K485" s="26"/>
    </row>
    <row r="486" spans="1:11" ht="300" x14ac:dyDescent="0.25">
      <c r="A486" s="55"/>
      <c r="B486" s="26">
        <v>6.11</v>
      </c>
      <c r="C486" s="26" t="s">
        <v>559</v>
      </c>
      <c r="D486" s="28" t="s">
        <v>604</v>
      </c>
      <c r="E486" s="57" t="s">
        <v>605</v>
      </c>
      <c r="F486" s="47"/>
      <c r="G486" s="57" t="s">
        <v>76</v>
      </c>
      <c r="H486" s="26"/>
      <c r="I486" s="26"/>
      <c r="J486" s="26"/>
      <c r="K486" s="26"/>
    </row>
    <row r="487" spans="1:11" ht="180" x14ac:dyDescent="0.25">
      <c r="A487" s="55"/>
      <c r="B487" s="26">
        <v>6.11</v>
      </c>
      <c r="C487" s="26" t="s">
        <v>559</v>
      </c>
      <c r="D487" s="28" t="s">
        <v>606</v>
      </c>
      <c r="E487" s="57" t="s">
        <v>607</v>
      </c>
      <c r="F487" s="26"/>
      <c r="G487" s="57" t="s">
        <v>126</v>
      </c>
      <c r="H487" s="26"/>
      <c r="I487" s="26"/>
      <c r="J487" s="26"/>
      <c r="K487" s="26"/>
    </row>
    <row r="488" spans="1:11" ht="180" x14ac:dyDescent="0.25">
      <c r="A488" s="55"/>
      <c r="B488" s="26">
        <v>6.11</v>
      </c>
      <c r="C488" s="26" t="s">
        <v>559</v>
      </c>
      <c r="D488" s="28" t="s">
        <v>606</v>
      </c>
      <c r="E488" s="57" t="s">
        <v>608</v>
      </c>
      <c r="F488" s="26"/>
      <c r="G488" s="57" t="s">
        <v>126</v>
      </c>
      <c r="H488" s="26"/>
      <c r="I488" s="26"/>
      <c r="J488" s="26"/>
      <c r="K488" s="26"/>
    </row>
    <row r="489" spans="1:11" ht="409.5" x14ac:dyDescent="0.25">
      <c r="A489" s="55"/>
      <c r="B489" s="26">
        <v>6.11</v>
      </c>
      <c r="C489" s="26" t="s">
        <v>559</v>
      </c>
      <c r="D489" s="28" t="s">
        <v>609</v>
      </c>
      <c r="E489" s="57" t="s">
        <v>590</v>
      </c>
      <c r="F489" s="47"/>
      <c r="G489" s="57" t="s">
        <v>76</v>
      </c>
      <c r="H489" s="59">
        <v>183593</v>
      </c>
      <c r="I489" s="26"/>
      <c r="J489" s="26"/>
      <c r="K489" s="26"/>
    </row>
    <row r="490" spans="1:11" ht="240" x14ac:dyDescent="0.25">
      <c r="A490" s="55"/>
      <c r="B490" s="26">
        <v>6.11</v>
      </c>
      <c r="C490" s="26" t="s">
        <v>559</v>
      </c>
      <c r="D490" s="28" t="s">
        <v>610</v>
      </c>
      <c r="E490" s="57" t="s">
        <v>582</v>
      </c>
      <c r="F490" s="47"/>
      <c r="G490" s="57" t="s">
        <v>76</v>
      </c>
      <c r="H490" s="26"/>
      <c r="I490" s="26"/>
      <c r="J490" s="26"/>
      <c r="K490" s="26"/>
    </row>
    <row r="491" spans="1:11" ht="240" x14ac:dyDescent="0.25">
      <c r="A491" s="55"/>
      <c r="B491" s="26">
        <v>6.11</v>
      </c>
      <c r="C491" s="26" t="s">
        <v>559</v>
      </c>
      <c r="D491" s="28" t="s">
        <v>610</v>
      </c>
      <c r="E491" s="57" t="s">
        <v>583</v>
      </c>
      <c r="F491" s="47"/>
      <c r="G491" s="57" t="s">
        <v>76</v>
      </c>
      <c r="H491" s="26"/>
      <c r="I491" s="26"/>
      <c r="J491" s="26"/>
      <c r="K491" s="26"/>
    </row>
    <row r="492" spans="1:11" ht="240" x14ac:dyDescent="0.25">
      <c r="A492" s="55"/>
      <c r="B492" s="26">
        <v>6.11</v>
      </c>
      <c r="C492" s="26" t="s">
        <v>559</v>
      </c>
      <c r="D492" s="28" t="s">
        <v>610</v>
      </c>
      <c r="E492" s="57" t="s">
        <v>75</v>
      </c>
      <c r="F492" s="47"/>
      <c r="G492" s="57" t="s">
        <v>76</v>
      </c>
      <c r="H492" s="26"/>
      <c r="I492" s="26"/>
      <c r="J492" s="26"/>
      <c r="K492" s="26"/>
    </row>
    <row r="493" spans="1:11" ht="300" x14ac:dyDescent="0.25">
      <c r="A493" s="55"/>
      <c r="B493" s="26">
        <v>6.11</v>
      </c>
      <c r="C493" s="26" t="s">
        <v>559</v>
      </c>
      <c r="D493" s="28" t="s">
        <v>611</v>
      </c>
      <c r="E493" s="57" t="s">
        <v>612</v>
      </c>
      <c r="F493" s="47"/>
      <c r="G493" s="57" t="s">
        <v>126</v>
      </c>
      <c r="H493" s="26"/>
      <c r="I493" s="26"/>
      <c r="J493" s="26"/>
      <c r="K493" s="26"/>
    </row>
    <row r="494" spans="1:11" ht="165" x14ac:dyDescent="0.25">
      <c r="A494" s="55"/>
      <c r="B494" s="26">
        <v>6.11</v>
      </c>
      <c r="C494" s="26" t="s">
        <v>559</v>
      </c>
      <c r="D494" s="28" t="s">
        <v>613</v>
      </c>
      <c r="E494" s="57" t="s">
        <v>564</v>
      </c>
      <c r="F494" s="47"/>
      <c r="G494" s="57" t="s">
        <v>76</v>
      </c>
      <c r="H494" s="26"/>
      <c r="I494" s="26"/>
      <c r="J494" s="26"/>
      <c r="K494" s="26"/>
    </row>
    <row r="495" spans="1:11" ht="300" x14ac:dyDescent="0.25">
      <c r="A495" s="55"/>
      <c r="B495" s="26">
        <v>6.11</v>
      </c>
      <c r="C495" s="26" t="s">
        <v>559</v>
      </c>
      <c r="D495" s="28" t="s">
        <v>614</v>
      </c>
      <c r="E495" s="57" t="s">
        <v>592</v>
      </c>
      <c r="F495" s="47"/>
      <c r="G495" s="57" t="s">
        <v>76</v>
      </c>
      <c r="H495" s="26"/>
      <c r="I495" s="26"/>
      <c r="J495" s="26"/>
      <c r="K495" s="26"/>
    </row>
    <row r="496" spans="1:11" ht="135" x14ac:dyDescent="0.25">
      <c r="A496" s="55"/>
      <c r="B496" s="26">
        <v>6.11</v>
      </c>
      <c r="C496" s="26" t="s">
        <v>559</v>
      </c>
      <c r="D496" s="28" t="s">
        <v>615</v>
      </c>
      <c r="E496" s="57" t="s">
        <v>590</v>
      </c>
      <c r="F496" s="26"/>
      <c r="G496" s="57" t="s">
        <v>76</v>
      </c>
      <c r="H496" s="26"/>
      <c r="I496" s="26"/>
      <c r="J496" s="26"/>
      <c r="K496" s="26"/>
    </row>
    <row r="497" spans="1:11" ht="165" x14ac:dyDescent="0.25">
      <c r="A497" s="55"/>
      <c r="B497" s="26">
        <v>6.11</v>
      </c>
      <c r="C497" s="26" t="s">
        <v>559</v>
      </c>
      <c r="D497" s="28" t="s">
        <v>616</v>
      </c>
      <c r="E497" s="57" t="s">
        <v>75</v>
      </c>
      <c r="F497" s="47"/>
      <c r="G497" s="57" t="s">
        <v>76</v>
      </c>
      <c r="H497" s="26"/>
      <c r="I497" s="26"/>
      <c r="J497" s="26"/>
      <c r="K497" s="26"/>
    </row>
    <row r="498" spans="1:11" ht="165" x14ac:dyDescent="0.25">
      <c r="A498" s="55"/>
      <c r="B498" s="26">
        <v>6.11</v>
      </c>
      <c r="C498" s="26" t="s">
        <v>559</v>
      </c>
      <c r="D498" s="28" t="s">
        <v>616</v>
      </c>
      <c r="E498" s="57" t="s">
        <v>587</v>
      </c>
      <c r="F498" s="47"/>
      <c r="G498" s="57" t="s">
        <v>76</v>
      </c>
      <c r="H498" s="26"/>
      <c r="I498" s="26"/>
      <c r="J498" s="26"/>
      <c r="K498" s="26"/>
    </row>
    <row r="499" spans="1:11" ht="165" x14ac:dyDescent="0.25">
      <c r="A499" s="55"/>
      <c r="B499" s="26">
        <v>6.11</v>
      </c>
      <c r="C499" s="26" t="s">
        <v>559</v>
      </c>
      <c r="D499" s="28" t="s">
        <v>616</v>
      </c>
      <c r="E499" s="57" t="s">
        <v>605</v>
      </c>
      <c r="F499" s="47"/>
      <c r="G499" s="57" t="s">
        <v>76</v>
      </c>
      <c r="H499" s="26"/>
      <c r="I499" s="26"/>
      <c r="J499" s="26"/>
      <c r="K499" s="26"/>
    </row>
    <row r="500" spans="1:11" ht="150" x14ac:dyDescent="0.25">
      <c r="A500" s="55"/>
      <c r="B500" s="26">
        <v>6.11</v>
      </c>
      <c r="C500" s="26" t="s">
        <v>559</v>
      </c>
      <c r="D500" s="28" t="s">
        <v>617</v>
      </c>
      <c r="E500" s="57" t="s">
        <v>618</v>
      </c>
      <c r="F500" s="47"/>
      <c r="G500" s="57" t="s">
        <v>76</v>
      </c>
      <c r="H500" s="26"/>
      <c r="I500" s="26"/>
      <c r="J500" s="26"/>
      <c r="K500" s="26"/>
    </row>
    <row r="501" spans="1:11" ht="409.5" x14ac:dyDescent="0.25">
      <c r="A501" s="55"/>
      <c r="B501" s="26">
        <v>6.11</v>
      </c>
      <c r="C501" s="26" t="s">
        <v>559</v>
      </c>
      <c r="D501" s="28" t="s">
        <v>619</v>
      </c>
      <c r="E501" s="57" t="s">
        <v>593</v>
      </c>
      <c r="F501" s="47"/>
      <c r="G501" s="57" t="s">
        <v>76</v>
      </c>
      <c r="H501" s="26"/>
      <c r="I501" s="26"/>
      <c r="J501" s="26"/>
      <c r="K501" s="26"/>
    </row>
    <row r="502" spans="1:11" ht="180" x14ac:dyDescent="0.25">
      <c r="A502" s="55"/>
      <c r="B502" s="26">
        <v>6.11</v>
      </c>
      <c r="C502" s="26" t="s">
        <v>559</v>
      </c>
      <c r="D502" s="28" t="s">
        <v>620</v>
      </c>
      <c r="E502" s="71" t="s">
        <v>621</v>
      </c>
      <c r="F502" s="52"/>
      <c r="G502" s="71" t="s">
        <v>76</v>
      </c>
      <c r="H502" s="26"/>
      <c r="I502" s="26"/>
      <c r="J502" s="26"/>
      <c r="K502" s="26"/>
    </row>
    <row r="503" spans="1:11" ht="360" x14ac:dyDescent="0.25">
      <c r="A503" s="55"/>
      <c r="B503" s="26">
        <v>6.11</v>
      </c>
      <c r="C503" s="26" t="s">
        <v>559</v>
      </c>
      <c r="D503" s="28" t="s">
        <v>622</v>
      </c>
      <c r="E503" s="57" t="s">
        <v>566</v>
      </c>
      <c r="F503" s="26"/>
      <c r="G503" s="57" t="s">
        <v>76</v>
      </c>
      <c r="H503" s="57"/>
      <c r="I503" s="26"/>
      <c r="J503" s="26"/>
      <c r="K503" s="26"/>
    </row>
    <row r="504" spans="1:11" ht="360" x14ac:dyDescent="0.25">
      <c r="A504" s="55"/>
      <c r="B504" s="26">
        <v>6.11</v>
      </c>
      <c r="C504" s="26" t="s">
        <v>559</v>
      </c>
      <c r="D504" s="28" t="s">
        <v>622</v>
      </c>
      <c r="E504" s="57" t="s">
        <v>567</v>
      </c>
      <c r="F504" s="26"/>
      <c r="G504" s="57" t="s">
        <v>76</v>
      </c>
      <c r="H504" s="26"/>
      <c r="I504" s="26"/>
      <c r="J504" s="26"/>
      <c r="K504" s="26"/>
    </row>
    <row r="505" spans="1:11" ht="360" x14ac:dyDescent="0.25">
      <c r="A505" s="55"/>
      <c r="B505" s="26">
        <v>6.11</v>
      </c>
      <c r="C505" s="26" t="s">
        <v>559</v>
      </c>
      <c r="D505" s="28" t="s">
        <v>622</v>
      </c>
      <c r="E505" s="57" t="s">
        <v>568</v>
      </c>
      <c r="F505" s="26"/>
      <c r="G505" s="57" t="s">
        <v>126</v>
      </c>
      <c r="H505" s="26"/>
      <c r="I505" s="26"/>
      <c r="J505" s="26"/>
      <c r="K505" s="26"/>
    </row>
    <row r="506" spans="1:11" ht="360" x14ac:dyDescent="0.25">
      <c r="A506" s="55"/>
      <c r="B506" s="26">
        <v>6.11</v>
      </c>
      <c r="C506" s="26" t="s">
        <v>559</v>
      </c>
      <c r="D506" s="28" t="s">
        <v>622</v>
      </c>
      <c r="E506" s="57" t="s">
        <v>623</v>
      </c>
      <c r="F506" s="26"/>
      <c r="G506" s="57" t="s">
        <v>76</v>
      </c>
      <c r="H506" s="59">
        <v>182160</v>
      </c>
      <c r="I506" s="26"/>
      <c r="J506" s="26"/>
      <c r="K506" s="26"/>
    </row>
    <row r="507" spans="1:11" ht="360" x14ac:dyDescent="0.25">
      <c r="A507" s="55"/>
      <c r="B507" s="26">
        <v>6.11</v>
      </c>
      <c r="C507" s="26" t="s">
        <v>559</v>
      </c>
      <c r="D507" s="28" t="s">
        <v>622</v>
      </c>
      <c r="E507" s="57" t="s">
        <v>624</v>
      </c>
      <c r="F507" s="26"/>
      <c r="G507" s="57" t="s">
        <v>76</v>
      </c>
      <c r="H507" s="26"/>
      <c r="I507" s="26"/>
      <c r="J507" s="26"/>
      <c r="K507" s="26"/>
    </row>
    <row r="508" spans="1:11" ht="360" x14ac:dyDescent="0.25">
      <c r="A508" s="55"/>
      <c r="B508" s="26">
        <v>6.11</v>
      </c>
      <c r="C508" s="26" t="s">
        <v>559</v>
      </c>
      <c r="D508" s="28" t="s">
        <v>622</v>
      </c>
      <c r="E508" s="57" t="s">
        <v>594</v>
      </c>
      <c r="F508" s="26"/>
      <c r="G508" s="57" t="s">
        <v>76</v>
      </c>
      <c r="H508" s="70">
        <v>182316</v>
      </c>
      <c r="I508" s="26"/>
      <c r="J508" s="26"/>
      <c r="K508" s="26"/>
    </row>
    <row r="509" spans="1:11" ht="409.5" x14ac:dyDescent="0.25">
      <c r="A509" s="55"/>
      <c r="B509" s="26">
        <v>6.11</v>
      </c>
      <c r="C509" s="26" t="s">
        <v>559</v>
      </c>
      <c r="D509" s="28" t="s">
        <v>625</v>
      </c>
      <c r="E509" s="57" t="s">
        <v>626</v>
      </c>
      <c r="F509" s="47"/>
      <c r="G509" s="57" t="s">
        <v>76</v>
      </c>
      <c r="H509" s="26"/>
      <c r="I509" s="26"/>
      <c r="J509" s="26"/>
      <c r="K509" s="26"/>
    </row>
    <row r="510" spans="1:11" ht="135" x14ac:dyDescent="0.25">
      <c r="A510" s="55"/>
      <c r="B510" s="26">
        <v>6.11</v>
      </c>
      <c r="C510" s="26" t="s">
        <v>559</v>
      </c>
      <c r="D510" s="28" t="s">
        <v>627</v>
      </c>
      <c r="E510" s="57" t="s">
        <v>582</v>
      </c>
      <c r="F510" s="47"/>
      <c r="G510" s="57" t="s">
        <v>76</v>
      </c>
      <c r="H510" s="26"/>
      <c r="I510" s="26"/>
      <c r="J510" s="26"/>
      <c r="K510" s="26"/>
    </row>
    <row r="511" spans="1:11" ht="135" x14ac:dyDescent="0.25">
      <c r="A511" s="55"/>
      <c r="B511" s="26">
        <v>6.11</v>
      </c>
      <c r="C511" s="26" t="s">
        <v>559</v>
      </c>
      <c r="D511" s="28" t="s">
        <v>627</v>
      </c>
      <c r="E511" s="57" t="s">
        <v>583</v>
      </c>
      <c r="F511" s="47"/>
      <c r="G511" s="57" t="s">
        <v>76</v>
      </c>
      <c r="H511" s="26"/>
      <c r="I511" s="26"/>
      <c r="J511" s="26"/>
      <c r="K511" s="26"/>
    </row>
    <row r="512" spans="1:11" ht="135" x14ac:dyDescent="0.25">
      <c r="A512" s="55"/>
      <c r="B512" s="26">
        <v>6.11</v>
      </c>
      <c r="C512" s="26" t="s">
        <v>559</v>
      </c>
      <c r="D512" s="28" t="s">
        <v>627</v>
      </c>
      <c r="E512" s="57" t="s">
        <v>75</v>
      </c>
      <c r="F512" s="47"/>
      <c r="G512" s="57" t="s">
        <v>76</v>
      </c>
      <c r="H512" s="26"/>
      <c r="I512" s="26"/>
      <c r="J512" s="26"/>
      <c r="K512" s="26"/>
    </row>
    <row r="513" spans="1:11" x14ac:dyDescent="0.25">
      <c r="A513" s="55"/>
      <c r="B513" s="26">
        <v>6.12</v>
      </c>
      <c r="C513" s="26" t="s">
        <v>628</v>
      </c>
      <c r="D513" s="26" t="s">
        <v>629</v>
      </c>
      <c r="E513" s="57" t="s">
        <v>630</v>
      </c>
      <c r="F513" s="47"/>
      <c r="G513" s="57" t="s">
        <v>126</v>
      </c>
      <c r="H513" s="26"/>
      <c r="I513" s="26"/>
      <c r="J513" s="26"/>
      <c r="K513" s="26"/>
    </row>
    <row r="514" spans="1:11" x14ac:dyDescent="0.25">
      <c r="A514" s="55"/>
      <c r="B514" s="26">
        <v>6.12</v>
      </c>
      <c r="C514" s="26" t="s">
        <v>628</v>
      </c>
      <c r="D514" s="26" t="s">
        <v>631</v>
      </c>
      <c r="E514" s="57" t="s">
        <v>632</v>
      </c>
      <c r="F514" s="47"/>
      <c r="G514" s="57" t="s">
        <v>76</v>
      </c>
      <c r="H514" s="26"/>
      <c r="I514" s="26"/>
      <c r="J514" s="26"/>
      <c r="K514" s="26"/>
    </row>
    <row r="515" spans="1:11" ht="150" x14ac:dyDescent="0.25">
      <c r="A515" s="55"/>
      <c r="B515" s="26">
        <v>6.12</v>
      </c>
      <c r="C515" s="26" t="s">
        <v>628</v>
      </c>
      <c r="D515" s="28" t="s">
        <v>585</v>
      </c>
      <c r="E515" s="57" t="s">
        <v>632</v>
      </c>
      <c r="F515" s="47"/>
      <c r="G515" s="57" t="s">
        <v>76</v>
      </c>
      <c r="H515" s="26"/>
      <c r="I515" s="26"/>
      <c r="J515" s="26"/>
      <c r="K515" s="26"/>
    </row>
    <row r="516" spans="1:11" ht="300" x14ac:dyDescent="0.25">
      <c r="A516" s="55"/>
      <c r="B516" s="26">
        <v>6.12</v>
      </c>
      <c r="C516" s="26" t="s">
        <v>628</v>
      </c>
      <c r="D516" s="28" t="s">
        <v>633</v>
      </c>
      <c r="E516" s="57" t="s">
        <v>634</v>
      </c>
      <c r="F516" s="47"/>
      <c r="G516" s="57" t="s">
        <v>76</v>
      </c>
      <c r="H516" s="26"/>
      <c r="I516" s="26"/>
      <c r="J516" s="26"/>
      <c r="K516" s="26"/>
    </row>
    <row r="517" spans="1:11" ht="180" x14ac:dyDescent="0.25">
      <c r="A517" s="55"/>
      <c r="B517" s="26">
        <v>6.12</v>
      </c>
      <c r="C517" s="26" t="s">
        <v>628</v>
      </c>
      <c r="D517" s="27" t="s">
        <v>635</v>
      </c>
      <c r="E517" s="57" t="s">
        <v>636</v>
      </c>
      <c r="F517" s="47"/>
      <c r="G517" s="57" t="s">
        <v>76</v>
      </c>
      <c r="H517" s="26"/>
      <c r="I517" s="26"/>
      <c r="J517" s="26"/>
      <c r="K517" s="26"/>
    </row>
    <row r="518" spans="1:11" ht="409.5" x14ac:dyDescent="0.25">
      <c r="A518" s="55"/>
      <c r="B518" s="26">
        <v>6.12</v>
      </c>
      <c r="C518" s="26" t="s">
        <v>628</v>
      </c>
      <c r="D518" s="28" t="s">
        <v>637</v>
      </c>
      <c r="E518" s="57" t="s">
        <v>638</v>
      </c>
      <c r="F518" s="26"/>
      <c r="G518" s="57" t="s">
        <v>76</v>
      </c>
      <c r="H518" s="26"/>
      <c r="I518" s="26"/>
      <c r="J518" s="26"/>
      <c r="K518" s="26"/>
    </row>
    <row r="519" spans="1:11" ht="165" x14ac:dyDescent="0.25">
      <c r="A519" s="55"/>
      <c r="B519" s="26">
        <v>6.12</v>
      </c>
      <c r="C519" s="26" t="s">
        <v>628</v>
      </c>
      <c r="D519" s="28" t="s">
        <v>639</v>
      </c>
      <c r="E519" s="57" t="s">
        <v>640</v>
      </c>
      <c r="F519" s="26"/>
      <c r="G519" s="57" t="s">
        <v>76</v>
      </c>
      <c r="H519" s="26"/>
      <c r="I519" s="26"/>
      <c r="J519" s="26"/>
      <c r="K519" s="26"/>
    </row>
    <row r="520" spans="1:11" ht="105" x14ac:dyDescent="0.25">
      <c r="A520" s="55"/>
      <c r="B520" s="26">
        <v>6.12</v>
      </c>
      <c r="C520" s="26" t="s">
        <v>628</v>
      </c>
      <c r="D520" s="28" t="s">
        <v>641</v>
      </c>
      <c r="E520" s="57" t="s">
        <v>642</v>
      </c>
      <c r="F520" s="47"/>
      <c r="G520" s="57" t="s">
        <v>76</v>
      </c>
      <c r="H520" s="26"/>
      <c r="I520" s="26"/>
      <c r="J520" s="26"/>
      <c r="K520" s="26"/>
    </row>
    <row r="521" spans="1:11" ht="105" x14ac:dyDescent="0.25">
      <c r="A521" s="55"/>
      <c r="B521" s="26">
        <v>6.12</v>
      </c>
      <c r="C521" s="26" t="s">
        <v>628</v>
      </c>
      <c r="D521" s="28" t="s">
        <v>641</v>
      </c>
      <c r="E521" s="57" t="s">
        <v>643</v>
      </c>
      <c r="F521" s="47"/>
      <c r="G521" s="57" t="s">
        <v>76</v>
      </c>
      <c r="H521" s="26"/>
      <c r="I521" s="26"/>
      <c r="J521" s="26"/>
      <c r="K521" s="26"/>
    </row>
    <row r="522" spans="1:11" ht="135" x14ac:dyDescent="0.25">
      <c r="A522" s="55"/>
      <c r="B522" s="26">
        <v>6.12</v>
      </c>
      <c r="C522" s="26" t="s">
        <v>628</v>
      </c>
      <c r="D522" s="28" t="s">
        <v>644</v>
      </c>
      <c r="E522" s="57" t="s">
        <v>645</v>
      </c>
      <c r="F522" s="47"/>
      <c r="G522" s="57" t="s">
        <v>76</v>
      </c>
      <c r="H522" s="26"/>
      <c r="I522" s="26"/>
      <c r="J522" s="26"/>
      <c r="K522" s="26"/>
    </row>
    <row r="523" spans="1:11" ht="409.5" x14ac:dyDescent="0.25">
      <c r="A523" s="55"/>
      <c r="B523" s="26">
        <v>6.12</v>
      </c>
      <c r="C523" s="26" t="s">
        <v>628</v>
      </c>
      <c r="D523" s="28" t="s">
        <v>646</v>
      </c>
      <c r="E523" s="57" t="s">
        <v>647</v>
      </c>
      <c r="F523" s="47"/>
      <c r="G523" s="57" t="s">
        <v>126</v>
      </c>
      <c r="H523" s="26"/>
      <c r="I523" s="26"/>
      <c r="J523" s="26"/>
      <c r="K523" s="26"/>
    </row>
    <row r="524" spans="1:11" ht="409.5" x14ac:dyDescent="0.25">
      <c r="A524" s="55"/>
      <c r="B524" s="26">
        <v>6.12</v>
      </c>
      <c r="C524" s="26" t="s">
        <v>628</v>
      </c>
      <c r="D524" s="28" t="s">
        <v>648</v>
      </c>
      <c r="E524" s="57" t="s">
        <v>649</v>
      </c>
      <c r="F524" s="47"/>
      <c r="G524" s="57" t="s">
        <v>88</v>
      </c>
      <c r="H524" s="26">
        <v>183597</v>
      </c>
      <c r="I524" s="61">
        <v>42747</v>
      </c>
      <c r="J524" s="61">
        <v>42753</v>
      </c>
      <c r="K524" s="26"/>
    </row>
    <row r="525" spans="1:11" ht="409.5" x14ac:dyDescent="0.25">
      <c r="A525" s="55"/>
      <c r="B525" s="26">
        <v>6.12</v>
      </c>
      <c r="C525" s="26" t="s">
        <v>628</v>
      </c>
      <c r="D525" s="28" t="s">
        <v>650</v>
      </c>
      <c r="E525" s="57" t="s">
        <v>651</v>
      </c>
      <c r="F525" s="47"/>
      <c r="G525" s="57" t="s">
        <v>126</v>
      </c>
      <c r="H525" s="26">
        <v>177323</v>
      </c>
      <c r="I525" s="26"/>
      <c r="J525" s="26"/>
      <c r="K525" s="26"/>
    </row>
    <row r="526" spans="1:11" ht="409.5" x14ac:dyDescent="0.25">
      <c r="A526" s="55"/>
      <c r="B526" s="26">
        <v>6.12</v>
      </c>
      <c r="C526" s="26" t="s">
        <v>628</v>
      </c>
      <c r="D526" s="28" t="s">
        <v>652</v>
      </c>
      <c r="E526" s="57" t="s">
        <v>640</v>
      </c>
      <c r="F526" s="47"/>
      <c r="G526" s="57" t="s">
        <v>76</v>
      </c>
      <c r="H526" s="26"/>
      <c r="I526" s="26"/>
      <c r="J526" s="26"/>
      <c r="K526" s="26"/>
    </row>
    <row r="527" spans="1:11" x14ac:dyDescent="0.25">
      <c r="A527" s="55"/>
      <c r="B527" s="26">
        <v>6.13</v>
      </c>
      <c r="C527" s="26" t="s">
        <v>653</v>
      </c>
      <c r="D527" s="26" t="s">
        <v>654</v>
      </c>
      <c r="E527" s="57" t="s">
        <v>655</v>
      </c>
      <c r="F527" s="26"/>
      <c r="G527" s="57" t="s">
        <v>76</v>
      </c>
      <c r="H527" s="26"/>
      <c r="I527" s="26"/>
      <c r="J527" s="26"/>
      <c r="K527" s="26"/>
    </row>
    <row r="528" spans="1:11" x14ac:dyDescent="0.25">
      <c r="A528" s="55"/>
      <c r="B528" s="26">
        <v>6.13</v>
      </c>
      <c r="C528" s="26" t="s">
        <v>653</v>
      </c>
      <c r="D528" s="26" t="s">
        <v>656</v>
      </c>
      <c r="E528" s="57" t="s">
        <v>657</v>
      </c>
      <c r="F528" s="26"/>
      <c r="G528" s="57" t="s">
        <v>76</v>
      </c>
      <c r="H528" s="26"/>
      <c r="I528" s="26"/>
      <c r="J528" s="26"/>
      <c r="K528" s="26"/>
    </row>
    <row r="529" spans="1:11" x14ac:dyDescent="0.25">
      <c r="A529" s="55"/>
      <c r="B529" s="26">
        <v>6.13</v>
      </c>
      <c r="C529" s="26" t="s">
        <v>653</v>
      </c>
      <c r="D529" s="26" t="s">
        <v>656</v>
      </c>
      <c r="E529" s="57" t="s">
        <v>658</v>
      </c>
      <c r="F529" s="26"/>
      <c r="G529" s="57" t="s">
        <v>76</v>
      </c>
      <c r="H529" s="26"/>
      <c r="I529" s="26"/>
      <c r="J529" s="26"/>
      <c r="K529" s="26"/>
    </row>
    <row r="530" spans="1:11" x14ac:dyDescent="0.25">
      <c r="A530" s="55"/>
      <c r="B530" s="26">
        <v>6.13</v>
      </c>
      <c r="C530" s="26" t="s">
        <v>653</v>
      </c>
      <c r="D530" s="26" t="s">
        <v>656</v>
      </c>
      <c r="E530" s="57" t="s">
        <v>582</v>
      </c>
      <c r="F530" s="26"/>
      <c r="G530" s="57" t="s">
        <v>76</v>
      </c>
      <c r="H530" s="26"/>
      <c r="I530" s="26"/>
      <c r="J530" s="26"/>
      <c r="K530" s="26"/>
    </row>
    <row r="531" spans="1:11" x14ac:dyDescent="0.25">
      <c r="A531" s="55"/>
      <c r="B531" s="26">
        <v>6.13</v>
      </c>
      <c r="C531" s="26" t="s">
        <v>653</v>
      </c>
      <c r="D531" s="26" t="s">
        <v>659</v>
      </c>
      <c r="E531" s="57" t="s">
        <v>660</v>
      </c>
      <c r="F531" s="26"/>
      <c r="G531" s="57" t="s">
        <v>76</v>
      </c>
      <c r="H531" s="59">
        <v>183284</v>
      </c>
      <c r="I531" s="26"/>
      <c r="J531" s="26"/>
      <c r="K531" s="26"/>
    </row>
    <row r="532" spans="1:11" ht="240" x14ac:dyDescent="0.25">
      <c r="A532" s="55"/>
      <c r="B532" s="26">
        <v>6.13</v>
      </c>
      <c r="C532" s="26" t="s">
        <v>653</v>
      </c>
      <c r="D532" s="33" t="s">
        <v>661</v>
      </c>
      <c r="E532" s="57" t="s">
        <v>662</v>
      </c>
      <c r="F532" s="26"/>
      <c r="G532" s="57" t="s">
        <v>76</v>
      </c>
      <c r="H532" s="59">
        <v>185962</v>
      </c>
      <c r="I532" s="26"/>
      <c r="J532" s="26"/>
      <c r="K532" s="26"/>
    </row>
    <row r="533" spans="1:11" ht="60" x14ac:dyDescent="0.25">
      <c r="A533" s="55"/>
      <c r="B533" s="26">
        <v>6.13</v>
      </c>
      <c r="C533" s="26" t="s">
        <v>653</v>
      </c>
      <c r="D533" s="33" t="s">
        <v>663</v>
      </c>
      <c r="E533" s="57" t="s">
        <v>664</v>
      </c>
      <c r="F533" s="47"/>
      <c r="G533" s="57" t="s">
        <v>76</v>
      </c>
      <c r="H533" s="67" t="s">
        <v>665</v>
      </c>
      <c r="I533" s="26"/>
      <c r="J533" s="26"/>
      <c r="K533" s="26"/>
    </row>
    <row r="534" spans="1:11" ht="45" x14ac:dyDescent="0.25">
      <c r="A534" s="55"/>
      <c r="B534" s="26">
        <v>6.13</v>
      </c>
      <c r="C534" s="26" t="s">
        <v>653</v>
      </c>
      <c r="D534" s="33" t="s">
        <v>666</v>
      </c>
      <c r="E534" s="57" t="s">
        <v>667</v>
      </c>
      <c r="F534" s="47"/>
      <c r="G534" s="57" t="s">
        <v>76</v>
      </c>
      <c r="H534" s="26"/>
      <c r="I534" s="26"/>
      <c r="J534" s="26"/>
      <c r="K534" s="26"/>
    </row>
    <row r="535" spans="1:11" ht="409.5" x14ac:dyDescent="0.25">
      <c r="A535" s="55"/>
      <c r="B535" s="26">
        <v>6.13</v>
      </c>
      <c r="C535" s="26" t="s">
        <v>653</v>
      </c>
      <c r="D535" s="33" t="s">
        <v>668</v>
      </c>
      <c r="E535" s="57" t="s">
        <v>669</v>
      </c>
      <c r="F535" s="26"/>
      <c r="G535" s="57" t="s">
        <v>76</v>
      </c>
      <c r="H535" s="26"/>
      <c r="I535" s="26"/>
      <c r="J535" s="26"/>
      <c r="K535" s="26"/>
    </row>
    <row r="536" spans="1:11" ht="90" x14ac:dyDescent="0.25">
      <c r="A536" s="55"/>
      <c r="B536" s="26">
        <v>6.13</v>
      </c>
      <c r="C536" s="26" t="s">
        <v>653</v>
      </c>
      <c r="D536" s="33" t="s">
        <v>670</v>
      </c>
      <c r="E536" s="57" t="s">
        <v>671</v>
      </c>
      <c r="F536" s="26"/>
      <c r="G536" s="57" t="s">
        <v>76</v>
      </c>
      <c r="H536" s="26"/>
      <c r="I536" s="26"/>
      <c r="J536" s="26"/>
      <c r="K536" s="26"/>
    </row>
    <row r="537" spans="1:11" ht="75" x14ac:dyDescent="0.25">
      <c r="A537" s="55"/>
      <c r="B537" s="26">
        <v>6.13</v>
      </c>
      <c r="C537" s="26" t="s">
        <v>653</v>
      </c>
      <c r="D537" s="34" t="s">
        <v>672</v>
      </c>
      <c r="E537" s="57" t="s">
        <v>19</v>
      </c>
      <c r="F537" s="26"/>
      <c r="G537" s="57" t="s">
        <v>19</v>
      </c>
      <c r="H537" s="26"/>
      <c r="I537" s="26"/>
      <c r="J537" s="26"/>
      <c r="K537" s="26"/>
    </row>
    <row r="538" spans="1:11" ht="300" x14ac:dyDescent="0.25">
      <c r="A538" s="55"/>
      <c r="B538" s="26">
        <v>6.13</v>
      </c>
      <c r="C538" s="26" t="s">
        <v>653</v>
      </c>
      <c r="D538" s="33" t="s">
        <v>673</v>
      </c>
      <c r="E538" s="57" t="s">
        <v>664</v>
      </c>
      <c r="F538" s="47"/>
      <c r="G538" s="57" t="s">
        <v>76</v>
      </c>
      <c r="H538" s="67" t="s">
        <v>665</v>
      </c>
      <c r="I538" s="26"/>
      <c r="J538" s="26"/>
      <c r="K538" s="26"/>
    </row>
    <row r="539" spans="1:11" ht="135" x14ac:dyDescent="0.25">
      <c r="A539" s="55"/>
      <c r="B539" s="26">
        <v>6.13</v>
      </c>
      <c r="C539" s="26" t="s">
        <v>653</v>
      </c>
      <c r="D539" s="34" t="s">
        <v>674</v>
      </c>
      <c r="E539" s="57" t="s">
        <v>19</v>
      </c>
      <c r="F539" s="26"/>
      <c r="G539" s="57" t="s">
        <v>19</v>
      </c>
      <c r="H539" s="26"/>
      <c r="I539" s="26"/>
      <c r="J539" s="26"/>
      <c r="K539" s="26"/>
    </row>
    <row r="540" spans="1:11" ht="120" x14ac:dyDescent="0.25">
      <c r="A540" s="55"/>
      <c r="B540" s="26">
        <v>6.13</v>
      </c>
      <c r="C540" s="26" t="s">
        <v>653</v>
      </c>
      <c r="D540" s="35" t="s">
        <v>675</v>
      </c>
      <c r="E540" s="57" t="s">
        <v>676</v>
      </c>
      <c r="F540" s="26"/>
      <c r="G540" s="57" t="s">
        <v>76</v>
      </c>
      <c r="H540" s="26"/>
      <c r="I540" s="61"/>
      <c r="J540" s="26"/>
      <c r="K540" s="26"/>
    </row>
    <row r="541" spans="1:11" ht="164.25" x14ac:dyDescent="0.25">
      <c r="A541" s="55"/>
      <c r="B541" s="26">
        <v>6.13</v>
      </c>
      <c r="C541" s="26" t="s">
        <v>653</v>
      </c>
      <c r="D541" s="35" t="s">
        <v>677</v>
      </c>
      <c r="E541" s="57" t="s">
        <v>78</v>
      </c>
      <c r="F541" s="47"/>
      <c r="G541" s="57" t="s">
        <v>76</v>
      </c>
      <c r="H541" s="44"/>
      <c r="I541" s="61"/>
      <c r="J541" s="26"/>
      <c r="K541" s="26"/>
    </row>
    <row r="542" spans="1:11" ht="164.25" x14ac:dyDescent="0.25">
      <c r="A542" s="55"/>
      <c r="B542" s="26">
        <v>6.13</v>
      </c>
      <c r="C542" s="26" t="s">
        <v>653</v>
      </c>
      <c r="D542" s="35" t="s">
        <v>677</v>
      </c>
      <c r="E542" s="57" t="s">
        <v>664</v>
      </c>
      <c r="F542" s="47"/>
      <c r="G542" s="57" t="s">
        <v>76</v>
      </c>
      <c r="H542" s="67" t="s">
        <v>665</v>
      </c>
      <c r="I542" s="61">
        <v>43070</v>
      </c>
      <c r="J542" s="26"/>
      <c r="K542" s="26"/>
    </row>
    <row r="543" spans="1:11" ht="164.25" x14ac:dyDescent="0.25">
      <c r="A543" s="55"/>
      <c r="B543" s="26">
        <v>6.13</v>
      </c>
      <c r="C543" s="26" t="s">
        <v>653</v>
      </c>
      <c r="D543" s="35" t="s">
        <v>677</v>
      </c>
      <c r="E543" s="57" t="s">
        <v>667</v>
      </c>
      <c r="F543" s="47"/>
      <c r="G543" s="57" t="s">
        <v>76</v>
      </c>
      <c r="H543" s="67" t="s">
        <v>678</v>
      </c>
      <c r="I543" s="61"/>
      <c r="J543" s="26"/>
      <c r="K543" s="26"/>
    </row>
    <row r="544" spans="1:11" ht="165" x14ac:dyDescent="0.25">
      <c r="A544" s="55"/>
      <c r="B544" s="26">
        <v>6.13</v>
      </c>
      <c r="C544" s="26" t="s">
        <v>653</v>
      </c>
      <c r="D544" s="35" t="s">
        <v>679</v>
      </c>
      <c r="E544" s="57" t="s">
        <v>660</v>
      </c>
      <c r="F544" s="26"/>
      <c r="G544" s="57" t="s">
        <v>76</v>
      </c>
      <c r="H544" s="59">
        <v>183284</v>
      </c>
      <c r="I544" s="26"/>
      <c r="J544" s="26"/>
      <c r="K544" s="26"/>
    </row>
    <row r="545" spans="1:11" ht="149.25" x14ac:dyDescent="0.25">
      <c r="A545" s="55"/>
      <c r="B545" s="26">
        <v>6.13</v>
      </c>
      <c r="C545" s="26" t="s">
        <v>653</v>
      </c>
      <c r="D545" s="35" t="s">
        <v>680</v>
      </c>
      <c r="E545" s="57" t="s">
        <v>78</v>
      </c>
      <c r="F545" s="47"/>
      <c r="G545" s="57" t="s">
        <v>76</v>
      </c>
      <c r="H545" s="26"/>
      <c r="I545" s="26"/>
      <c r="J545" s="26"/>
      <c r="K545" s="26"/>
    </row>
    <row r="546" spans="1:11" ht="409.5" x14ac:dyDescent="0.25">
      <c r="A546" s="55"/>
      <c r="B546" s="26">
        <v>6.13</v>
      </c>
      <c r="C546" s="26" t="s">
        <v>653</v>
      </c>
      <c r="D546" s="35" t="s">
        <v>681</v>
      </c>
      <c r="E546" s="57" t="s">
        <v>664</v>
      </c>
      <c r="F546" s="47"/>
      <c r="G546" s="57" t="s">
        <v>76</v>
      </c>
      <c r="H546" s="67" t="s">
        <v>665</v>
      </c>
      <c r="I546" s="61">
        <v>43070</v>
      </c>
      <c r="J546" s="26"/>
      <c r="K546" s="26"/>
    </row>
    <row r="547" spans="1:11" ht="149.25" x14ac:dyDescent="0.25">
      <c r="A547" s="55"/>
      <c r="B547" s="26">
        <v>6.13</v>
      </c>
      <c r="C547" s="26" t="s">
        <v>653</v>
      </c>
      <c r="D547" s="35" t="s">
        <v>682</v>
      </c>
      <c r="E547" s="57" t="s">
        <v>667</v>
      </c>
      <c r="F547" s="47"/>
      <c r="G547" s="57" t="s">
        <v>76</v>
      </c>
      <c r="H547" s="67" t="s">
        <v>678</v>
      </c>
      <c r="I547" s="26"/>
      <c r="J547" s="26"/>
      <c r="K547" s="26"/>
    </row>
    <row r="548" spans="1:11" ht="329.25" x14ac:dyDescent="0.25">
      <c r="A548" s="55"/>
      <c r="B548" s="26">
        <v>6.13</v>
      </c>
      <c r="C548" s="26" t="s">
        <v>653</v>
      </c>
      <c r="D548" s="35" t="s">
        <v>683</v>
      </c>
      <c r="E548" s="57" t="s">
        <v>664</v>
      </c>
      <c r="F548" s="26"/>
      <c r="G548" s="57" t="s">
        <v>76</v>
      </c>
      <c r="H548" s="67" t="s">
        <v>665</v>
      </c>
      <c r="I548" s="26"/>
      <c r="J548" s="26"/>
      <c r="K548" s="26"/>
    </row>
    <row r="549" spans="1:11" ht="409.5" x14ac:dyDescent="0.25">
      <c r="A549" s="55"/>
      <c r="B549" s="26">
        <v>6.13</v>
      </c>
      <c r="C549" s="26" t="s">
        <v>653</v>
      </c>
      <c r="D549" s="36" t="s">
        <v>684</v>
      </c>
      <c r="E549" s="57" t="s">
        <v>78</v>
      </c>
      <c r="F549" s="47"/>
      <c r="G549" s="57" t="s">
        <v>76</v>
      </c>
      <c r="H549" s="26"/>
      <c r="I549" s="26"/>
      <c r="J549" s="26"/>
      <c r="K549" s="26"/>
    </row>
    <row r="550" spans="1:11" ht="409.5" x14ac:dyDescent="0.25">
      <c r="A550" s="55"/>
      <c r="B550" s="26">
        <v>6.13</v>
      </c>
      <c r="C550" s="26" t="s">
        <v>653</v>
      </c>
      <c r="D550" s="36" t="s">
        <v>684</v>
      </c>
      <c r="E550" s="57" t="s">
        <v>664</v>
      </c>
      <c r="F550" s="47"/>
      <c r="G550" s="57" t="s">
        <v>76</v>
      </c>
      <c r="H550" s="67" t="s">
        <v>665</v>
      </c>
      <c r="I550" s="61">
        <v>43070</v>
      </c>
      <c r="J550" s="26"/>
      <c r="K550" s="26"/>
    </row>
    <row r="551" spans="1:11" ht="409.5" x14ac:dyDescent="0.25">
      <c r="A551" s="55"/>
      <c r="B551" s="26">
        <v>6.13</v>
      </c>
      <c r="C551" s="26" t="s">
        <v>653</v>
      </c>
      <c r="D551" s="36" t="s">
        <v>684</v>
      </c>
      <c r="E551" s="57" t="s">
        <v>667</v>
      </c>
      <c r="F551" s="47"/>
      <c r="G551" s="57" t="s">
        <v>76</v>
      </c>
      <c r="H551" s="67" t="s">
        <v>678</v>
      </c>
      <c r="I551" s="26"/>
      <c r="J551" s="26"/>
      <c r="K551" s="26"/>
    </row>
    <row r="552" spans="1:11" ht="409.5" x14ac:dyDescent="0.25">
      <c r="A552" s="55"/>
      <c r="B552" s="26">
        <v>6.13</v>
      </c>
      <c r="C552" s="26" t="s">
        <v>653</v>
      </c>
      <c r="D552" s="36" t="s">
        <v>685</v>
      </c>
      <c r="E552" s="57" t="s">
        <v>686</v>
      </c>
      <c r="F552" s="47"/>
      <c r="G552" s="57" t="s">
        <v>76</v>
      </c>
      <c r="H552" s="67" t="s">
        <v>687</v>
      </c>
      <c r="I552" s="26"/>
      <c r="J552" s="26"/>
      <c r="K552" s="26"/>
    </row>
    <row r="553" spans="1:11" ht="409.5" x14ac:dyDescent="0.25">
      <c r="A553" s="55"/>
      <c r="B553" s="26">
        <v>6.13</v>
      </c>
      <c r="C553" s="26" t="s">
        <v>653</v>
      </c>
      <c r="D553" s="36" t="s">
        <v>685</v>
      </c>
      <c r="E553" s="57" t="s">
        <v>688</v>
      </c>
      <c r="F553" s="47"/>
      <c r="G553" s="57" t="s">
        <v>76</v>
      </c>
      <c r="H553" s="67" t="s">
        <v>689</v>
      </c>
      <c r="I553" s="26"/>
      <c r="J553" s="26"/>
      <c r="K553" s="26"/>
    </row>
    <row r="554" spans="1:11" ht="409.5" x14ac:dyDescent="0.25">
      <c r="A554" s="55"/>
      <c r="B554" s="26">
        <v>6.13</v>
      </c>
      <c r="C554" s="26" t="s">
        <v>653</v>
      </c>
      <c r="D554" s="36" t="s">
        <v>685</v>
      </c>
      <c r="E554" s="57" t="s">
        <v>690</v>
      </c>
      <c r="F554" s="47"/>
      <c r="G554" s="57" t="s">
        <v>76</v>
      </c>
      <c r="H554" s="67" t="s">
        <v>691</v>
      </c>
      <c r="I554" s="26"/>
      <c r="J554" s="26"/>
      <c r="K554" s="26"/>
    </row>
    <row r="555" spans="1:11" ht="409.5" x14ac:dyDescent="0.25">
      <c r="A555" s="55"/>
      <c r="B555" s="26">
        <v>6.13</v>
      </c>
      <c r="C555" s="26" t="s">
        <v>653</v>
      </c>
      <c r="D555" s="36" t="s">
        <v>692</v>
      </c>
      <c r="E555" s="57" t="s">
        <v>693</v>
      </c>
      <c r="F555" s="47"/>
      <c r="G555" s="57" t="s">
        <v>76</v>
      </c>
      <c r="H555" s="67" t="s">
        <v>694</v>
      </c>
      <c r="I555" s="26"/>
      <c r="J555" s="26"/>
      <c r="K555" s="26"/>
    </row>
    <row r="556" spans="1:11" ht="409.5" x14ac:dyDescent="0.25">
      <c r="A556" s="55"/>
      <c r="B556" s="26">
        <v>6.13</v>
      </c>
      <c r="C556" s="26" t="s">
        <v>653</v>
      </c>
      <c r="D556" s="36" t="s">
        <v>695</v>
      </c>
      <c r="E556" s="57" t="s">
        <v>78</v>
      </c>
      <c r="F556" s="47"/>
      <c r="G556" s="57" t="s">
        <v>76</v>
      </c>
      <c r="H556" s="26"/>
      <c r="I556" s="26"/>
      <c r="J556" s="26"/>
      <c r="K556" s="26"/>
    </row>
    <row r="557" spans="1:11" ht="188.25" x14ac:dyDescent="0.25">
      <c r="A557" s="55"/>
      <c r="B557" s="26">
        <v>6.13</v>
      </c>
      <c r="C557" s="26" t="s">
        <v>653</v>
      </c>
      <c r="D557" s="36" t="s">
        <v>696</v>
      </c>
      <c r="E557" s="57" t="s">
        <v>697</v>
      </c>
      <c r="F557" s="47"/>
      <c r="G557" s="57" t="s">
        <v>76</v>
      </c>
      <c r="H557" s="72" t="s">
        <v>698</v>
      </c>
      <c r="I557" s="26"/>
      <c r="J557" s="26"/>
      <c r="K557" s="26"/>
    </row>
    <row r="558" spans="1:11" ht="282.75" x14ac:dyDescent="0.25">
      <c r="A558" s="55"/>
      <c r="B558" s="26">
        <v>6.13</v>
      </c>
      <c r="C558" s="26" t="s">
        <v>653</v>
      </c>
      <c r="D558" s="36" t="s">
        <v>699</v>
      </c>
      <c r="E558" s="57" t="s">
        <v>700</v>
      </c>
      <c r="F558" s="47"/>
      <c r="G558" s="57" t="s">
        <v>76</v>
      </c>
      <c r="H558" s="26"/>
      <c r="I558" s="26"/>
      <c r="J558" s="26"/>
      <c r="K558" s="26"/>
    </row>
    <row r="559" spans="1:11" ht="409.5" x14ac:dyDescent="0.25">
      <c r="A559" s="55"/>
      <c r="B559" s="26">
        <v>6.13</v>
      </c>
      <c r="C559" s="26" t="s">
        <v>653</v>
      </c>
      <c r="D559" s="36" t="s">
        <v>701</v>
      </c>
      <c r="E559" s="57" t="s">
        <v>702</v>
      </c>
      <c r="F559" s="47"/>
      <c r="G559" s="57" t="s">
        <v>126</v>
      </c>
      <c r="H559" s="73" t="s">
        <v>703</v>
      </c>
      <c r="I559" s="26"/>
      <c r="J559" s="26"/>
      <c r="K559" s="26"/>
    </row>
    <row r="560" spans="1:11" x14ac:dyDescent="0.25">
      <c r="A560" s="55"/>
      <c r="B560" s="26">
        <v>6.13</v>
      </c>
      <c r="C560" s="26" t="s">
        <v>653</v>
      </c>
      <c r="D560" s="26" t="s">
        <v>704</v>
      </c>
      <c r="E560" s="57" t="s">
        <v>705</v>
      </c>
      <c r="F560" s="26"/>
      <c r="G560" s="57" t="s">
        <v>76</v>
      </c>
      <c r="H560" s="26"/>
      <c r="I560" s="26"/>
      <c r="J560" s="26"/>
      <c r="K560" s="26"/>
    </row>
    <row r="561" spans="1:11" x14ac:dyDescent="0.25">
      <c r="A561" s="55"/>
      <c r="B561" s="26">
        <v>6.14</v>
      </c>
      <c r="C561" s="26" t="s">
        <v>706</v>
      </c>
      <c r="D561" s="26" t="s">
        <v>707</v>
      </c>
      <c r="E561" s="57" t="s">
        <v>708</v>
      </c>
      <c r="F561" s="26"/>
      <c r="G561" s="57" t="s">
        <v>76</v>
      </c>
      <c r="H561" s="26"/>
      <c r="I561" s="26"/>
      <c r="J561" s="26"/>
      <c r="K561" s="26"/>
    </row>
    <row r="562" spans="1:11" ht="409.5" x14ac:dyDescent="0.25">
      <c r="A562" s="55"/>
      <c r="B562" s="26">
        <v>6.14</v>
      </c>
      <c r="C562" s="26" t="s">
        <v>706</v>
      </c>
      <c r="D562" s="35" t="s">
        <v>709</v>
      </c>
      <c r="E562" s="57" t="s">
        <v>83</v>
      </c>
      <c r="F562" s="47"/>
      <c r="G562" s="57" t="s">
        <v>76</v>
      </c>
      <c r="H562" s="59">
        <v>185967</v>
      </c>
      <c r="I562" s="26"/>
      <c r="J562" s="26"/>
      <c r="K562" s="26"/>
    </row>
    <row r="563" spans="1:11" ht="409.5" x14ac:dyDescent="0.25">
      <c r="A563" s="55"/>
      <c r="B563" s="26">
        <v>6.14</v>
      </c>
      <c r="C563" s="26" t="s">
        <v>706</v>
      </c>
      <c r="D563" s="35" t="s">
        <v>709</v>
      </c>
      <c r="E563" s="57" t="s">
        <v>710</v>
      </c>
      <c r="F563" s="47"/>
      <c r="G563" s="57" t="s">
        <v>76</v>
      </c>
      <c r="H563" s="26"/>
      <c r="I563" s="26"/>
      <c r="J563" s="26"/>
      <c r="K563" s="26"/>
    </row>
    <row r="564" spans="1:11" ht="409.5" x14ac:dyDescent="0.25">
      <c r="A564" s="55"/>
      <c r="B564" s="26">
        <v>6.14</v>
      </c>
      <c r="C564" s="26" t="s">
        <v>706</v>
      </c>
      <c r="D564" s="35" t="s">
        <v>709</v>
      </c>
      <c r="E564" s="57" t="s">
        <v>711</v>
      </c>
      <c r="F564" s="47"/>
      <c r="G564" s="57" t="s">
        <v>76</v>
      </c>
      <c r="H564" s="59">
        <v>185967</v>
      </c>
      <c r="I564" s="26"/>
      <c r="J564" s="26"/>
      <c r="K564" s="26"/>
    </row>
    <row r="565" spans="1:11" ht="409.5" x14ac:dyDescent="0.25">
      <c r="A565" s="55"/>
      <c r="B565" s="26">
        <v>6.14</v>
      </c>
      <c r="C565" s="26" t="s">
        <v>706</v>
      </c>
      <c r="D565" s="35" t="s">
        <v>709</v>
      </c>
      <c r="E565" s="57" t="s">
        <v>712</v>
      </c>
      <c r="F565" s="47"/>
      <c r="G565" s="57" t="s">
        <v>76</v>
      </c>
      <c r="H565" s="26"/>
      <c r="I565" s="26"/>
      <c r="J565" s="26"/>
      <c r="K565" s="26"/>
    </row>
    <row r="566" spans="1:11" ht="409.5" x14ac:dyDescent="0.25">
      <c r="A566" s="55"/>
      <c r="B566" s="26">
        <v>6.14</v>
      </c>
      <c r="C566" s="26" t="s">
        <v>706</v>
      </c>
      <c r="D566" s="35" t="s">
        <v>709</v>
      </c>
      <c r="E566" s="57" t="s">
        <v>713</v>
      </c>
      <c r="F566" s="47"/>
      <c r="G566" s="57" t="s">
        <v>76</v>
      </c>
      <c r="H566" s="59">
        <v>185973</v>
      </c>
      <c r="I566" s="26"/>
      <c r="J566" s="26"/>
      <c r="K566" s="26"/>
    </row>
    <row r="567" spans="1:11" ht="409.5" x14ac:dyDescent="0.25">
      <c r="A567" s="55"/>
      <c r="B567" s="26">
        <v>6.14</v>
      </c>
      <c r="C567" s="26" t="s">
        <v>706</v>
      </c>
      <c r="D567" s="35" t="s">
        <v>709</v>
      </c>
      <c r="E567" s="57" t="s">
        <v>714</v>
      </c>
      <c r="F567" s="47"/>
      <c r="G567" s="57" t="s">
        <v>76</v>
      </c>
      <c r="H567" s="59">
        <v>185967</v>
      </c>
      <c r="I567" s="26"/>
      <c r="J567" s="26"/>
      <c r="K567" s="26"/>
    </row>
    <row r="568" spans="1:11" ht="409.5" x14ac:dyDescent="0.25">
      <c r="A568" s="55"/>
      <c r="B568" s="26">
        <v>6.14</v>
      </c>
      <c r="C568" s="26" t="s">
        <v>706</v>
      </c>
      <c r="D568" s="35" t="s">
        <v>709</v>
      </c>
      <c r="E568" s="57" t="s">
        <v>715</v>
      </c>
      <c r="F568" s="47"/>
      <c r="G568" s="57" t="s">
        <v>76</v>
      </c>
      <c r="H568" s="59">
        <v>185967</v>
      </c>
      <c r="I568" s="26"/>
      <c r="J568" s="26"/>
      <c r="K568" s="26"/>
    </row>
    <row r="569" spans="1:11" ht="409.5" x14ac:dyDescent="0.25">
      <c r="A569" s="55"/>
      <c r="B569" s="26">
        <v>6.14</v>
      </c>
      <c r="C569" s="26" t="s">
        <v>706</v>
      </c>
      <c r="D569" s="35" t="s">
        <v>709</v>
      </c>
      <c r="E569" s="57" t="s">
        <v>716</v>
      </c>
      <c r="F569" s="47"/>
      <c r="G569" s="57" t="s">
        <v>76</v>
      </c>
      <c r="H569" s="59">
        <v>185967</v>
      </c>
      <c r="I569" s="26"/>
      <c r="J569" s="26"/>
      <c r="K569" s="26"/>
    </row>
    <row r="570" spans="1:11" ht="409.5" x14ac:dyDescent="0.25">
      <c r="A570" s="55"/>
      <c r="B570" s="26">
        <v>6.14</v>
      </c>
      <c r="C570" s="26" t="s">
        <v>706</v>
      </c>
      <c r="D570" s="35" t="s">
        <v>709</v>
      </c>
      <c r="E570" s="57" t="s">
        <v>717</v>
      </c>
      <c r="F570" s="47"/>
      <c r="G570" s="57" t="s">
        <v>76</v>
      </c>
      <c r="H570" s="59">
        <v>185967</v>
      </c>
      <c r="I570" s="26"/>
      <c r="J570" s="26"/>
      <c r="K570" s="26"/>
    </row>
    <row r="571" spans="1:11" ht="409.5" x14ac:dyDescent="0.25">
      <c r="A571" s="55"/>
      <c r="B571" s="26">
        <v>6.14</v>
      </c>
      <c r="C571" s="26" t="s">
        <v>706</v>
      </c>
      <c r="D571" s="35" t="s">
        <v>709</v>
      </c>
      <c r="E571" s="57" t="s">
        <v>718</v>
      </c>
      <c r="F571" s="47"/>
      <c r="G571" s="57" t="s">
        <v>76</v>
      </c>
      <c r="H571" s="59">
        <v>185967</v>
      </c>
      <c r="I571" s="26"/>
      <c r="J571" s="26"/>
      <c r="K571" s="26"/>
    </row>
    <row r="572" spans="1:11" ht="164.25" x14ac:dyDescent="0.25">
      <c r="A572" s="55"/>
      <c r="B572" s="26">
        <v>6.14</v>
      </c>
      <c r="C572" s="26" t="s">
        <v>706</v>
      </c>
      <c r="D572" s="35" t="s">
        <v>677</v>
      </c>
      <c r="E572" s="57" t="s">
        <v>80</v>
      </c>
      <c r="F572" s="47"/>
      <c r="G572" s="57" t="s">
        <v>76</v>
      </c>
      <c r="H572" s="59" t="s">
        <v>81</v>
      </c>
      <c r="I572" s="26"/>
      <c r="J572" s="26"/>
      <c r="K572" s="26"/>
    </row>
    <row r="573" spans="1:11" ht="165" x14ac:dyDescent="0.25">
      <c r="A573" s="55"/>
      <c r="B573" s="26">
        <v>6.14</v>
      </c>
      <c r="C573" s="26" t="s">
        <v>706</v>
      </c>
      <c r="D573" s="35" t="s">
        <v>679</v>
      </c>
      <c r="E573" s="57" t="s">
        <v>80</v>
      </c>
      <c r="F573" s="47"/>
      <c r="G573" s="57" t="s">
        <v>76</v>
      </c>
      <c r="H573" s="59" t="s">
        <v>81</v>
      </c>
      <c r="I573" s="26"/>
      <c r="J573" s="26"/>
      <c r="K573" s="26"/>
    </row>
    <row r="574" spans="1:11" ht="164.25" x14ac:dyDescent="0.25">
      <c r="A574" s="55"/>
      <c r="B574" s="26">
        <v>6.14</v>
      </c>
      <c r="C574" s="26" t="s">
        <v>706</v>
      </c>
      <c r="D574" s="35" t="s">
        <v>719</v>
      </c>
      <c r="E574" s="57" t="s">
        <v>82</v>
      </c>
      <c r="F574" s="47"/>
      <c r="G574" s="57" t="s">
        <v>76</v>
      </c>
      <c r="H574" s="59">
        <v>185956</v>
      </c>
      <c r="I574" s="26"/>
      <c r="J574" s="26"/>
      <c r="K574" s="26"/>
    </row>
    <row r="575" spans="1:11" ht="224.25" x14ac:dyDescent="0.25">
      <c r="A575" s="55"/>
      <c r="B575" s="26">
        <v>6.14</v>
      </c>
      <c r="C575" s="26" t="s">
        <v>706</v>
      </c>
      <c r="D575" s="35" t="s">
        <v>720</v>
      </c>
      <c r="E575" s="57" t="s">
        <v>84</v>
      </c>
      <c r="F575" s="47"/>
      <c r="G575" s="57" t="s">
        <v>76</v>
      </c>
      <c r="H575" s="26"/>
      <c r="I575" s="26"/>
      <c r="J575" s="26"/>
      <c r="K575" s="26"/>
    </row>
    <row r="576" spans="1:11" ht="224.25" x14ac:dyDescent="0.25">
      <c r="A576" s="55"/>
      <c r="B576" s="26">
        <v>6.14</v>
      </c>
      <c r="C576" s="26" t="s">
        <v>706</v>
      </c>
      <c r="D576" s="35" t="s">
        <v>721</v>
      </c>
      <c r="E576" s="57" t="s">
        <v>722</v>
      </c>
      <c r="F576" s="47"/>
      <c r="G576" s="57" t="s">
        <v>76</v>
      </c>
      <c r="H576" s="26"/>
      <c r="I576" s="26"/>
      <c r="J576" s="26"/>
      <c r="K576" s="26"/>
    </row>
    <row r="577" spans="1:11" ht="209.25" x14ac:dyDescent="0.25">
      <c r="A577" s="55"/>
      <c r="B577" s="26">
        <v>6.14</v>
      </c>
      <c r="C577" s="26" t="s">
        <v>706</v>
      </c>
      <c r="D577" s="35" t="s">
        <v>723</v>
      </c>
      <c r="E577" s="57" t="s">
        <v>85</v>
      </c>
      <c r="F577" s="47"/>
      <c r="G577" s="57" t="s">
        <v>76</v>
      </c>
      <c r="H577" s="67" t="s">
        <v>724</v>
      </c>
      <c r="I577" s="26"/>
      <c r="J577" s="26"/>
      <c r="K577" s="26"/>
    </row>
    <row r="578" spans="1:11" ht="409.5" x14ac:dyDescent="0.25">
      <c r="A578" s="55"/>
      <c r="B578" s="26">
        <v>6.14</v>
      </c>
      <c r="C578" s="26" t="s">
        <v>706</v>
      </c>
      <c r="D578" s="36" t="s">
        <v>725</v>
      </c>
      <c r="E578" s="57" t="s">
        <v>726</v>
      </c>
      <c r="F578" s="47"/>
      <c r="G578" s="57" t="s">
        <v>76</v>
      </c>
      <c r="H578" s="67">
        <v>185967</v>
      </c>
      <c r="I578" s="26"/>
      <c r="J578" s="26"/>
      <c r="K578" s="26"/>
    </row>
    <row r="579" spans="1:11" ht="149.25" x14ac:dyDescent="0.25">
      <c r="A579" s="55"/>
      <c r="B579" s="26">
        <v>6.14</v>
      </c>
      <c r="C579" s="26" t="s">
        <v>706</v>
      </c>
      <c r="D579" s="35" t="s">
        <v>727</v>
      </c>
      <c r="E579" s="57" t="s">
        <v>728</v>
      </c>
      <c r="F579" s="26"/>
      <c r="G579" s="57" t="s">
        <v>19</v>
      </c>
      <c r="H579" s="26"/>
      <c r="I579" s="26"/>
      <c r="J579" s="26"/>
      <c r="K579" s="26"/>
    </row>
    <row r="580" spans="1:11" ht="409.5" x14ac:dyDescent="0.25">
      <c r="A580" s="55"/>
      <c r="B580" s="26">
        <v>6.14</v>
      </c>
      <c r="C580" s="26" t="s">
        <v>706</v>
      </c>
      <c r="D580" s="35" t="s">
        <v>729</v>
      </c>
      <c r="E580" s="57" t="s">
        <v>730</v>
      </c>
      <c r="F580" s="26"/>
      <c r="G580" s="57" t="s">
        <v>76</v>
      </c>
      <c r="H580" s="67">
        <v>185967</v>
      </c>
      <c r="I580" s="26"/>
      <c r="J580" s="26"/>
      <c r="K580" s="26"/>
    </row>
    <row r="581" spans="1:11" ht="270" x14ac:dyDescent="0.25">
      <c r="A581" s="55"/>
      <c r="B581" s="26">
        <v>6.14</v>
      </c>
      <c r="C581" s="26" t="s">
        <v>706</v>
      </c>
      <c r="D581" s="35" t="s">
        <v>731</v>
      </c>
      <c r="E581" s="57" t="s">
        <v>732</v>
      </c>
      <c r="F581" s="26"/>
      <c r="G581" s="57" t="s">
        <v>76</v>
      </c>
      <c r="H581" s="26"/>
      <c r="I581" s="26"/>
      <c r="J581" s="26"/>
      <c r="K581" s="26"/>
    </row>
    <row r="582" spans="1:11" ht="239.25" x14ac:dyDescent="0.25">
      <c r="A582" s="55"/>
      <c r="B582" s="26">
        <v>6.14</v>
      </c>
      <c r="C582" s="26" t="s">
        <v>706</v>
      </c>
      <c r="D582" s="35" t="s">
        <v>733</v>
      </c>
      <c r="E582" s="57" t="s">
        <v>734</v>
      </c>
      <c r="F582" s="26"/>
      <c r="G582" s="57" t="s">
        <v>76</v>
      </c>
      <c r="H582" s="67">
        <v>185967</v>
      </c>
      <c r="I582" s="26"/>
      <c r="J582" s="26"/>
      <c r="K582" s="26"/>
    </row>
    <row r="583" spans="1:11" ht="224.25" x14ac:dyDescent="0.25">
      <c r="A583" s="55"/>
      <c r="B583" s="26">
        <v>6.14</v>
      </c>
      <c r="C583" s="26" t="s">
        <v>706</v>
      </c>
      <c r="D583" s="35" t="s">
        <v>735</v>
      </c>
      <c r="E583" s="57" t="s">
        <v>736</v>
      </c>
      <c r="F583" s="26"/>
      <c r="G583" s="57" t="s">
        <v>76</v>
      </c>
      <c r="H583" s="67">
        <v>185967</v>
      </c>
      <c r="I583" s="26"/>
      <c r="J583" s="26"/>
      <c r="K583" s="26"/>
    </row>
    <row r="584" spans="1:11" x14ac:dyDescent="0.25">
      <c r="A584" s="55"/>
      <c r="B584" s="26">
        <v>5</v>
      </c>
      <c r="C584" s="26" t="s">
        <v>737</v>
      </c>
      <c r="D584" s="26" t="s">
        <v>738</v>
      </c>
      <c r="E584" s="57" t="s">
        <v>739</v>
      </c>
      <c r="F584" s="26"/>
      <c r="G584" s="57" t="s">
        <v>76</v>
      </c>
      <c r="H584" s="26"/>
      <c r="I584" s="26"/>
      <c r="J584" s="26"/>
      <c r="K584" s="26"/>
    </row>
    <row r="585" spans="1:11" x14ac:dyDescent="0.25">
      <c r="A585" s="55"/>
      <c r="B585" s="26">
        <v>5</v>
      </c>
      <c r="C585" s="26" t="s">
        <v>737</v>
      </c>
      <c r="D585" s="26" t="s">
        <v>740</v>
      </c>
      <c r="E585" s="57" t="s">
        <v>19</v>
      </c>
      <c r="F585" s="26" t="s">
        <v>19</v>
      </c>
      <c r="G585" s="57" t="s">
        <v>19</v>
      </c>
      <c r="H585" s="26"/>
      <c r="I585" s="26"/>
      <c r="J585" s="26"/>
      <c r="K585" s="26"/>
    </row>
    <row r="586" spans="1:11" x14ac:dyDescent="0.25">
      <c r="A586" s="55"/>
      <c r="B586" s="26">
        <v>5</v>
      </c>
      <c r="C586" s="26" t="s">
        <v>737</v>
      </c>
      <c r="D586" s="26" t="s">
        <v>741</v>
      </c>
      <c r="E586" s="57" t="s">
        <v>19</v>
      </c>
      <c r="F586" s="26" t="s">
        <v>19</v>
      </c>
      <c r="G586" s="57" t="s">
        <v>19</v>
      </c>
      <c r="H586" s="26"/>
      <c r="I586" s="26"/>
      <c r="J586" s="26"/>
      <c r="K586" s="26"/>
    </row>
    <row r="587" spans="1:11" x14ac:dyDescent="0.25">
      <c r="A587" s="55"/>
      <c r="B587" s="26">
        <v>5</v>
      </c>
      <c r="C587" s="26" t="s">
        <v>737</v>
      </c>
      <c r="D587" s="26" t="s">
        <v>742</v>
      </c>
      <c r="E587" s="57" t="s">
        <v>19</v>
      </c>
      <c r="F587" s="26" t="s">
        <v>19</v>
      </c>
      <c r="G587" s="57" t="s">
        <v>19</v>
      </c>
      <c r="H587" s="26"/>
      <c r="I587" s="26"/>
      <c r="J587" s="26"/>
      <c r="K587" s="26"/>
    </row>
    <row r="588" spans="1:11" ht="165" x14ac:dyDescent="0.25">
      <c r="A588" s="55"/>
      <c r="B588" s="21">
        <v>6.1</v>
      </c>
      <c r="C588" s="26" t="s">
        <v>743</v>
      </c>
      <c r="D588" s="28" t="s">
        <v>744</v>
      </c>
      <c r="E588" s="57" t="s">
        <v>745</v>
      </c>
      <c r="F588" s="47"/>
      <c r="G588" s="71" t="s">
        <v>76</v>
      </c>
      <c r="H588" s="21"/>
      <c r="I588" s="26"/>
      <c r="J588" s="26"/>
      <c r="K588" s="26"/>
    </row>
    <row r="589" spans="1:11" ht="210" x14ac:dyDescent="0.25">
      <c r="A589" s="55"/>
      <c r="B589" s="21">
        <v>6.1</v>
      </c>
      <c r="C589" s="26" t="s">
        <v>743</v>
      </c>
      <c r="D589" s="28" t="s">
        <v>746</v>
      </c>
      <c r="E589" s="57" t="s">
        <v>747</v>
      </c>
      <c r="F589" s="47"/>
      <c r="G589" s="71" t="s">
        <v>76</v>
      </c>
      <c r="H589" s="21"/>
      <c r="I589" s="26"/>
      <c r="J589" s="26"/>
      <c r="K589" s="26"/>
    </row>
    <row r="590" spans="1:11" ht="409.5" x14ac:dyDescent="0.25">
      <c r="A590" s="55"/>
      <c r="B590" s="21">
        <v>6.1</v>
      </c>
      <c r="C590" s="26" t="s">
        <v>743</v>
      </c>
      <c r="D590" s="28" t="s">
        <v>748</v>
      </c>
      <c r="E590" s="57" t="s">
        <v>749</v>
      </c>
      <c r="F590" s="47"/>
      <c r="G590" s="71" t="s">
        <v>76</v>
      </c>
      <c r="H590" s="21"/>
      <c r="I590" s="26"/>
      <c r="J590" s="26"/>
      <c r="K590" s="26"/>
    </row>
    <row r="591" spans="1:11" ht="409.5" x14ac:dyDescent="0.25">
      <c r="A591" s="55"/>
      <c r="B591" s="21">
        <v>6.1</v>
      </c>
      <c r="C591" s="26" t="s">
        <v>743</v>
      </c>
      <c r="D591" s="28" t="s">
        <v>750</v>
      </c>
      <c r="E591" s="57" t="s">
        <v>751</v>
      </c>
      <c r="F591" s="47"/>
      <c r="G591" s="71" t="s">
        <v>76</v>
      </c>
      <c r="H591" s="21"/>
      <c r="I591" s="26"/>
      <c r="J591" s="26"/>
      <c r="K591" s="26"/>
    </row>
    <row r="592" spans="1:11" ht="150" x14ac:dyDescent="0.25">
      <c r="A592" s="55"/>
      <c r="B592" s="21">
        <v>6.1</v>
      </c>
      <c r="C592" s="26" t="s">
        <v>743</v>
      </c>
      <c r="D592" s="28" t="s">
        <v>752</v>
      </c>
      <c r="E592" s="57" t="s">
        <v>751</v>
      </c>
      <c r="F592" s="47"/>
      <c r="G592" s="71" t="s">
        <v>76</v>
      </c>
      <c r="H592" s="21"/>
      <c r="I592" s="26"/>
      <c r="J592" s="26"/>
      <c r="K592" s="26"/>
    </row>
    <row r="593" spans="1:11" ht="375" x14ac:dyDescent="0.25">
      <c r="A593" s="55"/>
      <c r="B593" s="21">
        <v>6.1</v>
      </c>
      <c r="C593" s="26" t="s">
        <v>743</v>
      </c>
      <c r="D593" s="28" t="s">
        <v>753</v>
      </c>
      <c r="E593" s="57" t="s">
        <v>754</v>
      </c>
      <c r="F593" s="47"/>
      <c r="G593" s="57" t="s">
        <v>76</v>
      </c>
      <c r="H593" s="21"/>
      <c r="I593" s="26"/>
      <c r="J593" s="26"/>
      <c r="K593" s="26" t="s">
        <v>331</v>
      </c>
    </row>
    <row r="594" spans="1:11" ht="180" x14ac:dyDescent="0.25">
      <c r="A594" s="55"/>
      <c r="B594" s="21">
        <v>6.1</v>
      </c>
      <c r="C594" s="26" t="s">
        <v>743</v>
      </c>
      <c r="D594" s="28" t="s">
        <v>755</v>
      </c>
      <c r="E594" s="57" t="s">
        <v>756</v>
      </c>
      <c r="F594" s="47"/>
      <c r="G594" s="71" t="s">
        <v>76</v>
      </c>
      <c r="H594" s="21"/>
      <c r="I594" s="26"/>
      <c r="J594" s="26"/>
      <c r="K594" s="26"/>
    </row>
    <row r="595" spans="1:11" ht="135" x14ac:dyDescent="0.25">
      <c r="A595" s="55"/>
      <c r="B595" s="21">
        <v>6.1</v>
      </c>
      <c r="C595" s="26" t="s">
        <v>743</v>
      </c>
      <c r="D595" s="28" t="s">
        <v>757</v>
      </c>
      <c r="E595" s="57" t="s">
        <v>758</v>
      </c>
      <c r="F595" s="21"/>
      <c r="G595" s="57" t="s">
        <v>76</v>
      </c>
      <c r="H595" s="44">
        <v>186810</v>
      </c>
      <c r="I595" s="26"/>
      <c r="J595" s="26"/>
      <c r="K595" s="26"/>
    </row>
    <row r="596" spans="1:11" ht="210" x14ac:dyDescent="0.25">
      <c r="A596" s="55"/>
      <c r="B596" s="21">
        <v>6.1</v>
      </c>
      <c r="C596" s="26" t="s">
        <v>743</v>
      </c>
      <c r="D596" s="28" t="s">
        <v>759</v>
      </c>
      <c r="E596" s="57" t="s">
        <v>760</v>
      </c>
      <c r="F596" s="47"/>
      <c r="G596" s="71" t="s">
        <v>76</v>
      </c>
      <c r="H596" s="67">
        <v>174205</v>
      </c>
      <c r="I596" s="26"/>
      <c r="J596" s="26"/>
      <c r="K596" s="26"/>
    </row>
    <row r="597" spans="1:11" ht="270" x14ac:dyDescent="0.25">
      <c r="A597" s="55"/>
      <c r="B597" s="21">
        <v>6.1</v>
      </c>
      <c r="C597" s="26" t="s">
        <v>743</v>
      </c>
      <c r="D597" s="28" t="s">
        <v>761</v>
      </c>
      <c r="E597" s="57" t="s">
        <v>762</v>
      </c>
      <c r="F597" s="47"/>
      <c r="G597" s="71" t="s">
        <v>76</v>
      </c>
      <c r="H597" s="21"/>
      <c r="I597" s="26"/>
      <c r="J597" s="26"/>
      <c r="K597" s="26"/>
    </row>
    <row r="598" spans="1:11" ht="105" x14ac:dyDescent="0.25">
      <c r="A598" s="55"/>
      <c r="B598" s="21">
        <v>6.1</v>
      </c>
      <c r="C598" s="26" t="s">
        <v>743</v>
      </c>
      <c r="D598" s="28" t="s">
        <v>763</v>
      </c>
      <c r="E598" s="57" t="s">
        <v>764</v>
      </c>
      <c r="F598" s="21"/>
      <c r="G598" s="57" t="s">
        <v>76</v>
      </c>
      <c r="H598" s="21"/>
      <c r="I598" s="26"/>
      <c r="J598" s="26"/>
      <c r="K598" s="26"/>
    </row>
    <row r="599" spans="1:11" ht="210" x14ac:dyDescent="0.25">
      <c r="A599" s="55"/>
      <c r="B599" s="21">
        <v>6.1</v>
      </c>
      <c r="C599" s="26" t="s">
        <v>743</v>
      </c>
      <c r="D599" s="28" t="s">
        <v>765</v>
      </c>
      <c r="E599" s="71" t="s">
        <v>19</v>
      </c>
      <c r="F599" s="21"/>
      <c r="G599" s="71" t="s">
        <v>19</v>
      </c>
      <c r="H599" s="21"/>
      <c r="I599" s="26"/>
      <c r="J599" s="26"/>
      <c r="K599" s="26"/>
    </row>
    <row r="600" spans="1:11" ht="390" x14ac:dyDescent="0.25">
      <c r="A600" s="55"/>
      <c r="B600" s="21">
        <v>6.1</v>
      </c>
      <c r="C600" s="26" t="s">
        <v>743</v>
      </c>
      <c r="D600" s="29" t="s">
        <v>766</v>
      </c>
      <c r="E600" s="71" t="s">
        <v>19</v>
      </c>
      <c r="F600" s="21"/>
      <c r="G600" s="71" t="s">
        <v>19</v>
      </c>
      <c r="H600" s="21"/>
      <c r="I600" s="26"/>
      <c r="J600" s="26"/>
      <c r="K600" s="26"/>
    </row>
    <row r="601" spans="1:11" ht="240" x14ac:dyDescent="0.25">
      <c r="A601" s="55"/>
      <c r="B601" s="21">
        <v>6.1</v>
      </c>
      <c r="C601" s="26" t="s">
        <v>743</v>
      </c>
      <c r="D601" s="28" t="s">
        <v>767</v>
      </c>
      <c r="E601" s="57" t="s">
        <v>768</v>
      </c>
      <c r="F601" s="47"/>
      <c r="G601" s="71" t="s">
        <v>76</v>
      </c>
      <c r="H601" s="67" t="s">
        <v>769</v>
      </c>
      <c r="I601" s="61">
        <v>42747</v>
      </c>
      <c r="J601" s="61">
        <v>42753</v>
      </c>
      <c r="K601" s="26"/>
    </row>
    <row r="602" spans="1:11" x14ac:dyDescent="0.25">
      <c r="A602" s="55"/>
      <c r="B602" s="21">
        <v>6.1</v>
      </c>
      <c r="C602" s="26" t="s">
        <v>743</v>
      </c>
      <c r="D602" s="21" t="s">
        <v>770</v>
      </c>
      <c r="E602" s="57" t="s">
        <v>771</v>
      </c>
      <c r="F602" s="47"/>
      <c r="G602" s="71" t="s">
        <v>76</v>
      </c>
      <c r="H602" s="21"/>
      <c r="I602" s="26"/>
      <c r="J602" s="26"/>
      <c r="K602" s="26"/>
    </row>
    <row r="603" spans="1:11" ht="409.5" x14ac:dyDescent="0.25">
      <c r="A603" s="55"/>
      <c r="B603" s="21">
        <v>6.1</v>
      </c>
      <c r="C603" s="26" t="s">
        <v>743</v>
      </c>
      <c r="D603" s="28" t="s">
        <v>772</v>
      </c>
      <c r="E603" s="57" t="s">
        <v>773</v>
      </c>
      <c r="F603" s="47" t="s">
        <v>774</v>
      </c>
      <c r="G603" s="71" t="s">
        <v>76</v>
      </c>
      <c r="H603" s="21"/>
      <c r="I603" s="74">
        <v>43077</v>
      </c>
      <c r="J603" s="26"/>
      <c r="K603" s="26"/>
    </row>
    <row r="604" spans="1:11" ht="409.5" x14ac:dyDescent="0.25">
      <c r="A604" s="55"/>
      <c r="B604" s="21">
        <v>6.1</v>
      </c>
      <c r="C604" s="26" t="s">
        <v>743</v>
      </c>
      <c r="D604" s="28" t="s">
        <v>772</v>
      </c>
      <c r="E604" s="57" t="s">
        <v>775</v>
      </c>
      <c r="F604" s="47" t="s">
        <v>774</v>
      </c>
      <c r="G604" s="71" t="s">
        <v>76</v>
      </c>
      <c r="H604" s="21"/>
      <c r="I604" s="74">
        <v>43077</v>
      </c>
      <c r="J604" s="26"/>
      <c r="K604" s="26"/>
    </row>
    <row r="605" spans="1:11" ht="409.5" x14ac:dyDescent="0.25">
      <c r="A605" s="55"/>
      <c r="B605" s="21">
        <v>6.1</v>
      </c>
      <c r="C605" s="26" t="s">
        <v>743</v>
      </c>
      <c r="D605" s="28" t="s">
        <v>772</v>
      </c>
      <c r="E605" s="57" t="s">
        <v>776</v>
      </c>
      <c r="F605" s="47" t="s">
        <v>774</v>
      </c>
      <c r="G605" s="71" t="s">
        <v>76</v>
      </c>
      <c r="H605" s="21"/>
      <c r="I605" s="74">
        <v>43077</v>
      </c>
      <c r="J605" s="26"/>
      <c r="K605" s="26"/>
    </row>
    <row r="606" spans="1:11" ht="409.5" x14ac:dyDescent="0.25">
      <c r="A606" s="55"/>
      <c r="B606" s="21">
        <v>6.1</v>
      </c>
      <c r="C606" s="26" t="s">
        <v>743</v>
      </c>
      <c r="D606" s="28" t="s">
        <v>772</v>
      </c>
      <c r="E606" s="57" t="s">
        <v>777</v>
      </c>
      <c r="F606" s="47" t="s">
        <v>774</v>
      </c>
      <c r="G606" s="71" t="s">
        <v>76</v>
      </c>
      <c r="H606" s="21"/>
      <c r="I606" s="74">
        <v>43077</v>
      </c>
      <c r="J606" s="26"/>
      <c r="K606" s="26"/>
    </row>
    <row r="607" spans="1:11" ht="409.5" x14ac:dyDescent="0.25">
      <c r="A607" s="55"/>
      <c r="B607" s="21">
        <v>6.1</v>
      </c>
      <c r="C607" s="26" t="s">
        <v>743</v>
      </c>
      <c r="D607" s="28" t="s">
        <v>772</v>
      </c>
      <c r="E607" s="57" t="s">
        <v>778</v>
      </c>
      <c r="F607" s="47" t="s">
        <v>774</v>
      </c>
      <c r="G607" s="71" t="s">
        <v>76</v>
      </c>
      <c r="H607" s="21"/>
      <c r="I607" s="74">
        <v>43077</v>
      </c>
      <c r="J607" s="26"/>
      <c r="K607" s="26"/>
    </row>
    <row r="608" spans="1:11" ht="173.25" x14ac:dyDescent="0.25">
      <c r="A608" s="55"/>
      <c r="B608" s="21">
        <v>6.1</v>
      </c>
      <c r="C608" s="26" t="s">
        <v>743</v>
      </c>
      <c r="D608" s="37" t="s">
        <v>779</v>
      </c>
      <c r="E608" s="57" t="s">
        <v>103</v>
      </c>
      <c r="F608" s="21"/>
      <c r="G608" s="71" t="s">
        <v>103</v>
      </c>
      <c r="H608" s="21"/>
      <c r="I608" s="26"/>
      <c r="J608" s="26"/>
      <c r="K608" s="26"/>
    </row>
    <row r="609" spans="1:11" ht="267.75" x14ac:dyDescent="0.25">
      <c r="A609" s="55"/>
      <c r="B609" s="21">
        <v>6.1</v>
      </c>
      <c r="C609" s="26" t="s">
        <v>743</v>
      </c>
      <c r="D609" s="37" t="s">
        <v>780</v>
      </c>
      <c r="E609" s="57" t="s">
        <v>103</v>
      </c>
      <c r="F609" s="21"/>
      <c r="G609" s="71" t="s">
        <v>103</v>
      </c>
      <c r="H609" s="21"/>
      <c r="I609" s="26"/>
      <c r="J609" s="26"/>
      <c r="K609" s="26"/>
    </row>
    <row r="610" spans="1:11" ht="236.25" x14ac:dyDescent="0.25">
      <c r="A610" s="55"/>
      <c r="B610" s="21">
        <v>6.1</v>
      </c>
      <c r="C610" s="26" t="s">
        <v>743</v>
      </c>
      <c r="D610" s="37" t="s">
        <v>781</v>
      </c>
      <c r="E610" s="57" t="s">
        <v>103</v>
      </c>
      <c r="F610" s="21"/>
      <c r="G610" s="71" t="s">
        <v>103</v>
      </c>
      <c r="H610" s="21"/>
      <c r="I610" s="26"/>
      <c r="J610" s="26"/>
      <c r="K610" s="26"/>
    </row>
    <row r="611" spans="1:11" x14ac:dyDescent="0.25">
      <c r="A611" s="55"/>
      <c r="B611" s="21">
        <v>6.1</v>
      </c>
      <c r="C611" s="26" t="s">
        <v>743</v>
      </c>
      <c r="D611" s="26" t="s">
        <v>782</v>
      </c>
      <c r="E611" s="57" t="s">
        <v>783</v>
      </c>
      <c r="F611" s="47" t="s">
        <v>774</v>
      </c>
      <c r="G611" s="71" t="s">
        <v>39</v>
      </c>
      <c r="H611" s="21"/>
      <c r="I611" s="74">
        <v>43077</v>
      </c>
      <c r="J611" s="26"/>
      <c r="K611" s="26"/>
    </row>
    <row r="612" spans="1:11" ht="126" x14ac:dyDescent="0.25">
      <c r="A612" s="55"/>
      <c r="B612" s="21" t="s">
        <v>784</v>
      </c>
      <c r="C612" s="21" t="s">
        <v>785</v>
      </c>
      <c r="D612" s="37" t="s">
        <v>786</v>
      </c>
      <c r="E612" s="71" t="s">
        <v>19</v>
      </c>
      <c r="F612" s="21"/>
      <c r="G612" s="71" t="s">
        <v>19</v>
      </c>
      <c r="H612" s="21"/>
      <c r="I612" s="26"/>
      <c r="J612" s="26"/>
      <c r="K612" s="26"/>
    </row>
    <row r="613" spans="1:11" ht="204.75" x14ac:dyDescent="0.25">
      <c r="A613" s="55"/>
      <c r="B613" s="21" t="s">
        <v>784</v>
      </c>
      <c r="C613" s="21" t="s">
        <v>785</v>
      </c>
      <c r="D613" s="36" t="s">
        <v>787</v>
      </c>
      <c r="E613" s="71" t="s">
        <v>788</v>
      </c>
      <c r="F613" s="21"/>
      <c r="G613" s="71" t="s">
        <v>76</v>
      </c>
      <c r="H613" s="21"/>
      <c r="I613" s="26"/>
      <c r="J613" s="26"/>
      <c r="K613" s="26"/>
    </row>
    <row r="614" spans="1:11" ht="220.5" x14ac:dyDescent="0.25">
      <c r="A614" s="55"/>
      <c r="B614" s="21" t="s">
        <v>784</v>
      </c>
      <c r="C614" s="21" t="s">
        <v>785</v>
      </c>
      <c r="D614" s="36" t="s">
        <v>789</v>
      </c>
      <c r="E614" s="57" t="s">
        <v>790</v>
      </c>
      <c r="F614" s="47"/>
      <c r="G614" s="71" t="s">
        <v>76</v>
      </c>
      <c r="H614" s="21"/>
      <c r="I614" s="26"/>
      <c r="J614" s="26"/>
      <c r="K614" s="26"/>
    </row>
    <row r="615" spans="1:11" ht="283.5" x14ac:dyDescent="0.25">
      <c r="A615" s="55"/>
      <c r="B615" s="21" t="s">
        <v>784</v>
      </c>
      <c r="C615" s="21" t="s">
        <v>785</v>
      </c>
      <c r="D615" s="36" t="s">
        <v>791</v>
      </c>
      <c r="E615" s="57" t="s">
        <v>103</v>
      </c>
      <c r="F615" s="21"/>
      <c r="G615" s="71" t="s">
        <v>103</v>
      </c>
      <c r="H615" s="21"/>
      <c r="I615" s="26"/>
      <c r="J615" s="26"/>
      <c r="K615" s="26"/>
    </row>
    <row r="616" spans="1:11" ht="15.75" x14ac:dyDescent="0.25">
      <c r="A616" s="55"/>
      <c r="B616" s="21" t="s">
        <v>784</v>
      </c>
      <c r="C616" s="21" t="s">
        <v>785</v>
      </c>
      <c r="D616" s="38" t="s">
        <v>792</v>
      </c>
      <c r="E616" s="57" t="s">
        <v>103</v>
      </c>
      <c r="F616" s="21"/>
      <c r="G616" s="71" t="s">
        <v>103</v>
      </c>
      <c r="H616" s="21"/>
      <c r="I616" s="26"/>
      <c r="J616" s="26"/>
      <c r="K616" s="26"/>
    </row>
    <row r="617" spans="1:11" ht="345.75" x14ac:dyDescent="0.25">
      <c r="A617" s="55"/>
      <c r="B617" s="21">
        <v>6.2</v>
      </c>
      <c r="C617" s="21" t="s">
        <v>793</v>
      </c>
      <c r="D617" s="36" t="s">
        <v>794</v>
      </c>
      <c r="E617" s="71" t="s">
        <v>795</v>
      </c>
      <c r="F617" s="21"/>
      <c r="G617" s="57" t="s">
        <v>76</v>
      </c>
      <c r="H617" s="21"/>
      <c r="I617" s="26"/>
      <c r="J617" s="26"/>
      <c r="K617" s="26"/>
    </row>
    <row r="618" spans="1:11" ht="314.25" x14ac:dyDescent="0.25">
      <c r="A618" s="55"/>
      <c r="B618" s="21">
        <v>6.2</v>
      </c>
      <c r="C618" s="21" t="s">
        <v>793</v>
      </c>
      <c r="D618" s="36" t="s">
        <v>796</v>
      </c>
      <c r="E618" s="57" t="s">
        <v>797</v>
      </c>
      <c r="F618" s="47"/>
      <c r="G618" s="71" t="s">
        <v>76</v>
      </c>
      <c r="H618" s="21"/>
      <c r="I618" s="26"/>
      <c r="J618" s="26"/>
      <c r="K618" s="26"/>
    </row>
    <row r="619" spans="1:11" ht="315" x14ac:dyDescent="0.25">
      <c r="A619" s="55"/>
      <c r="B619" s="21">
        <v>6.2</v>
      </c>
      <c r="C619" s="21" t="s">
        <v>793</v>
      </c>
      <c r="D619" s="36" t="s">
        <v>798</v>
      </c>
      <c r="E619" s="57" t="s">
        <v>799</v>
      </c>
      <c r="F619" s="47"/>
      <c r="G619" s="71" t="s">
        <v>76</v>
      </c>
      <c r="H619" s="21"/>
      <c r="I619" s="26"/>
      <c r="J619" s="26"/>
      <c r="K619" s="26"/>
    </row>
    <row r="620" spans="1:11" ht="110.25" x14ac:dyDescent="0.25">
      <c r="A620" s="55"/>
      <c r="B620" s="21">
        <v>6.2</v>
      </c>
      <c r="C620" s="21" t="s">
        <v>793</v>
      </c>
      <c r="D620" s="39" t="s">
        <v>800</v>
      </c>
      <c r="E620" s="71" t="s">
        <v>19</v>
      </c>
      <c r="F620" s="21"/>
      <c r="G620" s="71" t="s">
        <v>19</v>
      </c>
      <c r="H620" s="21"/>
      <c r="I620" s="26"/>
      <c r="J620" s="26"/>
      <c r="K620" s="26"/>
    </row>
    <row r="621" spans="1:11" ht="236.25" x14ac:dyDescent="0.25">
      <c r="A621" s="55"/>
      <c r="B621" s="21">
        <v>6.2</v>
      </c>
      <c r="C621" s="21" t="s">
        <v>793</v>
      </c>
      <c r="D621" s="39" t="s">
        <v>801</v>
      </c>
      <c r="E621" s="71" t="s">
        <v>19</v>
      </c>
      <c r="F621" s="21"/>
      <c r="G621" s="71" t="s">
        <v>19</v>
      </c>
      <c r="H621" s="21"/>
      <c r="I621" s="26"/>
      <c r="J621" s="26"/>
      <c r="K621" s="26"/>
    </row>
    <row r="622" spans="1:11" ht="409.5" x14ac:dyDescent="0.25">
      <c r="A622" s="55"/>
      <c r="B622" s="21">
        <v>6.2</v>
      </c>
      <c r="C622" s="21" t="s">
        <v>793</v>
      </c>
      <c r="D622" s="39" t="s">
        <v>802</v>
      </c>
      <c r="E622" s="71" t="s">
        <v>19</v>
      </c>
      <c r="F622" s="21"/>
      <c r="G622" s="71" t="s">
        <v>19</v>
      </c>
      <c r="H622" s="21"/>
      <c r="I622" s="26"/>
      <c r="J622" s="26"/>
      <c r="K622" s="26"/>
    </row>
    <row r="623" spans="1:11" ht="188.25" x14ac:dyDescent="0.25">
      <c r="A623" s="55"/>
      <c r="B623" s="21">
        <v>6.2</v>
      </c>
      <c r="C623" s="21" t="s">
        <v>793</v>
      </c>
      <c r="D623" s="36" t="s">
        <v>803</v>
      </c>
      <c r="E623" s="57" t="s">
        <v>804</v>
      </c>
      <c r="F623" s="47"/>
      <c r="G623" s="71" t="s">
        <v>76</v>
      </c>
      <c r="H623" s="75">
        <v>183755</v>
      </c>
      <c r="I623" s="26"/>
      <c r="J623" s="26"/>
      <c r="K623" s="26" t="s">
        <v>331</v>
      </c>
    </row>
    <row r="624" spans="1:11" ht="204.75" x14ac:dyDescent="0.25">
      <c r="A624" s="55"/>
      <c r="B624" s="21">
        <v>6.2</v>
      </c>
      <c r="C624" s="21" t="s">
        <v>793</v>
      </c>
      <c r="D624" s="36" t="s">
        <v>805</v>
      </c>
      <c r="E624" s="57" t="s">
        <v>799</v>
      </c>
      <c r="F624" s="47"/>
      <c r="G624" s="71" t="s">
        <v>76</v>
      </c>
      <c r="H624" s="21"/>
      <c r="I624" s="26"/>
      <c r="J624" s="26"/>
      <c r="K624" s="26"/>
    </row>
    <row r="625" spans="1:11" ht="204.75" x14ac:dyDescent="0.25">
      <c r="A625" s="55"/>
      <c r="B625" s="21">
        <v>6.2</v>
      </c>
      <c r="C625" s="21" t="s">
        <v>793</v>
      </c>
      <c r="D625" s="36" t="s">
        <v>806</v>
      </c>
      <c r="E625" s="57" t="s">
        <v>807</v>
      </c>
      <c r="F625" s="47"/>
      <c r="G625" s="71" t="s">
        <v>76</v>
      </c>
      <c r="H625" s="21"/>
      <c r="I625" s="26"/>
      <c r="J625" s="26"/>
      <c r="K625" s="26"/>
    </row>
    <row r="626" spans="1:11" ht="204.75" x14ac:dyDescent="0.25">
      <c r="A626" s="55"/>
      <c r="B626" s="21">
        <v>6.2</v>
      </c>
      <c r="C626" s="21" t="s">
        <v>793</v>
      </c>
      <c r="D626" s="39" t="s">
        <v>808</v>
      </c>
      <c r="E626" s="71" t="s">
        <v>19</v>
      </c>
      <c r="F626" s="21"/>
      <c r="G626" s="71" t="s">
        <v>19</v>
      </c>
      <c r="H626" s="21"/>
      <c r="I626" s="26"/>
      <c r="J626" s="26"/>
      <c r="K626" s="26"/>
    </row>
    <row r="627" spans="1:11" ht="409.5" x14ac:dyDescent="0.25">
      <c r="A627" s="55"/>
      <c r="B627" s="21">
        <v>6.2</v>
      </c>
      <c r="C627" s="21" t="s">
        <v>793</v>
      </c>
      <c r="D627" s="36" t="s">
        <v>809</v>
      </c>
      <c r="E627" s="57" t="s">
        <v>103</v>
      </c>
      <c r="F627" s="21"/>
      <c r="G627" s="71" t="s">
        <v>103</v>
      </c>
      <c r="H627" s="21"/>
      <c r="I627" s="26"/>
      <c r="J627" s="26"/>
      <c r="K627" s="26"/>
    </row>
    <row r="628" spans="1:11" ht="409.5" x14ac:dyDescent="0.25">
      <c r="A628" s="55"/>
      <c r="B628" s="21">
        <v>6.2</v>
      </c>
      <c r="C628" s="21" t="s">
        <v>793</v>
      </c>
      <c r="D628" s="39" t="s">
        <v>810</v>
      </c>
      <c r="E628" s="71" t="s">
        <v>19</v>
      </c>
      <c r="F628" s="21"/>
      <c r="G628" s="71" t="s">
        <v>19</v>
      </c>
      <c r="H628" s="21"/>
      <c r="I628" s="26"/>
      <c r="J628" s="26"/>
      <c r="K628" s="26"/>
    </row>
    <row r="629" spans="1:11" ht="267.75" x14ac:dyDescent="0.25">
      <c r="A629" s="55"/>
      <c r="B629" s="21">
        <v>6.2</v>
      </c>
      <c r="C629" s="21" t="s">
        <v>793</v>
      </c>
      <c r="D629" s="36" t="s">
        <v>811</v>
      </c>
      <c r="E629" s="57" t="s">
        <v>103</v>
      </c>
      <c r="F629" s="21"/>
      <c r="G629" s="71" t="s">
        <v>103</v>
      </c>
      <c r="H629" s="21"/>
      <c r="I629" s="26"/>
      <c r="J629" s="26"/>
      <c r="K629" s="26"/>
    </row>
    <row r="630" spans="1:11" ht="204.75" x14ac:dyDescent="0.25">
      <c r="A630" s="55"/>
      <c r="B630" s="21">
        <v>6.2</v>
      </c>
      <c r="C630" s="21" t="s">
        <v>793</v>
      </c>
      <c r="D630" s="36" t="s">
        <v>812</v>
      </c>
      <c r="E630" s="57" t="s">
        <v>103</v>
      </c>
      <c r="F630" s="21"/>
      <c r="G630" s="71" t="s">
        <v>103</v>
      </c>
      <c r="H630" s="21"/>
      <c r="I630" s="26"/>
      <c r="J630" s="26"/>
      <c r="K630" s="26"/>
    </row>
    <row r="631" spans="1:11" ht="409.5" x14ac:dyDescent="0.25">
      <c r="A631" s="55"/>
      <c r="B631" s="21">
        <v>6.2</v>
      </c>
      <c r="C631" s="21" t="s">
        <v>793</v>
      </c>
      <c r="D631" s="36" t="s">
        <v>813</v>
      </c>
      <c r="E631" s="57" t="s">
        <v>814</v>
      </c>
      <c r="F631" s="47"/>
      <c r="G631" s="71" t="s">
        <v>76</v>
      </c>
      <c r="H631" s="21"/>
      <c r="I631" s="26"/>
      <c r="J631" s="26"/>
      <c r="K631" s="26"/>
    </row>
    <row r="632" spans="1:11" ht="409.5" x14ac:dyDescent="0.25">
      <c r="A632" s="55"/>
      <c r="B632" s="21">
        <v>6.2</v>
      </c>
      <c r="C632" s="21" t="s">
        <v>793</v>
      </c>
      <c r="D632" s="36" t="s">
        <v>815</v>
      </c>
      <c r="E632" s="57" t="s">
        <v>816</v>
      </c>
      <c r="F632" s="47"/>
      <c r="G632" s="71" t="s">
        <v>76</v>
      </c>
      <c r="H632" s="21"/>
      <c r="I632" s="26"/>
      <c r="J632" s="26"/>
      <c r="K632" s="26"/>
    </row>
    <row r="633" spans="1:11" ht="173.25" x14ac:dyDescent="0.25">
      <c r="A633" s="55"/>
      <c r="B633" s="21">
        <v>6.2</v>
      </c>
      <c r="C633" s="21" t="s">
        <v>793</v>
      </c>
      <c r="D633" s="36" t="s">
        <v>817</v>
      </c>
      <c r="E633" s="57" t="s">
        <v>103</v>
      </c>
      <c r="F633" s="21"/>
      <c r="G633" s="71" t="s">
        <v>103</v>
      </c>
      <c r="H633" s="21"/>
      <c r="I633" s="26"/>
      <c r="J633" s="26"/>
      <c r="K633" s="26"/>
    </row>
    <row r="634" spans="1:11" ht="220.5" x14ac:dyDescent="0.25">
      <c r="A634" s="55"/>
      <c r="B634" s="21">
        <v>6.2</v>
      </c>
      <c r="C634" s="21" t="s">
        <v>793</v>
      </c>
      <c r="D634" s="36" t="s">
        <v>818</v>
      </c>
      <c r="E634" s="57" t="s">
        <v>103</v>
      </c>
      <c r="F634" s="21"/>
      <c r="G634" s="71" t="s">
        <v>103</v>
      </c>
      <c r="H634" s="21"/>
      <c r="I634" s="26"/>
      <c r="J634" s="26"/>
      <c r="K634" s="26"/>
    </row>
    <row r="635" spans="1:11" ht="141.75" x14ac:dyDescent="0.25">
      <c r="A635" s="55"/>
      <c r="B635" s="21">
        <v>6.2</v>
      </c>
      <c r="C635" s="21" t="s">
        <v>793</v>
      </c>
      <c r="D635" s="37" t="s">
        <v>819</v>
      </c>
      <c r="E635" s="57" t="s">
        <v>103</v>
      </c>
      <c r="F635" s="21"/>
      <c r="G635" s="71" t="s">
        <v>103</v>
      </c>
      <c r="H635" s="21"/>
      <c r="I635" s="26"/>
      <c r="J635" s="26"/>
      <c r="K635" s="26"/>
    </row>
    <row r="636" spans="1:11" ht="157.5" x14ac:dyDescent="0.25">
      <c r="A636" s="55"/>
      <c r="B636" s="21">
        <v>6.2</v>
      </c>
      <c r="C636" s="21" t="s">
        <v>793</v>
      </c>
      <c r="D636" s="36" t="s">
        <v>820</v>
      </c>
      <c r="E636" s="57" t="s">
        <v>103</v>
      </c>
      <c r="F636" s="21"/>
      <c r="G636" s="71" t="s">
        <v>103</v>
      </c>
      <c r="H636" s="21"/>
      <c r="I636" s="26"/>
      <c r="J636" s="26"/>
      <c r="K636" s="26"/>
    </row>
    <row r="637" spans="1:11" ht="204.75" x14ac:dyDescent="0.25">
      <c r="A637" s="55"/>
      <c r="B637" s="21">
        <v>6.2</v>
      </c>
      <c r="C637" s="21" t="s">
        <v>793</v>
      </c>
      <c r="D637" s="36" t="s">
        <v>821</v>
      </c>
      <c r="E637" s="71" t="s">
        <v>822</v>
      </c>
      <c r="F637" s="21"/>
      <c r="G637" s="71" t="s">
        <v>76</v>
      </c>
      <c r="H637" s="21"/>
      <c r="I637" s="26"/>
      <c r="J637" s="26"/>
      <c r="K637" s="26"/>
    </row>
    <row r="638" spans="1:11" ht="220.5" x14ac:dyDescent="0.25">
      <c r="A638" s="55"/>
      <c r="B638" s="21">
        <v>6.2</v>
      </c>
      <c r="C638" s="21" t="s">
        <v>793</v>
      </c>
      <c r="D638" s="36" t="s">
        <v>823</v>
      </c>
      <c r="E638" s="57" t="s">
        <v>103</v>
      </c>
      <c r="F638" s="21"/>
      <c r="G638" s="71" t="s">
        <v>103</v>
      </c>
      <c r="H638" s="21"/>
      <c r="I638" s="26"/>
      <c r="J638" s="26"/>
      <c r="K638" s="26"/>
    </row>
    <row r="639" spans="1:11" ht="409.5" x14ac:dyDescent="0.25">
      <c r="A639" s="55"/>
      <c r="B639" s="21">
        <v>6.2</v>
      </c>
      <c r="C639" s="21" t="s">
        <v>793</v>
      </c>
      <c r="D639" s="28" t="s">
        <v>824</v>
      </c>
      <c r="E639" s="71" t="s">
        <v>19</v>
      </c>
      <c r="F639" s="21" t="s">
        <v>825</v>
      </c>
      <c r="G639" s="71" t="s">
        <v>19</v>
      </c>
      <c r="H639" s="21"/>
      <c r="I639" s="26"/>
      <c r="J639" s="26"/>
      <c r="K639" s="26"/>
    </row>
    <row r="640" spans="1:11" ht="195" x14ac:dyDescent="0.25">
      <c r="A640" s="55"/>
      <c r="B640" s="26">
        <v>6.3</v>
      </c>
      <c r="C640" s="26" t="s">
        <v>826</v>
      </c>
      <c r="D640" s="28" t="s">
        <v>827</v>
      </c>
      <c r="E640" s="57" t="s">
        <v>828</v>
      </c>
      <c r="F640" s="47"/>
      <c r="G640" s="57" t="s">
        <v>76</v>
      </c>
      <c r="H640" s="26"/>
      <c r="I640" s="26"/>
      <c r="J640" s="26"/>
      <c r="K640" s="26"/>
    </row>
    <row r="641" spans="1:11" ht="195" x14ac:dyDescent="0.25">
      <c r="A641" s="55"/>
      <c r="B641" s="26">
        <v>6.3</v>
      </c>
      <c r="C641" s="26" t="s">
        <v>826</v>
      </c>
      <c r="D641" s="28" t="s">
        <v>827</v>
      </c>
      <c r="E641" s="57" t="s">
        <v>829</v>
      </c>
      <c r="F641" s="47"/>
      <c r="G641" s="57" t="s">
        <v>76</v>
      </c>
      <c r="H641" s="26"/>
      <c r="I641" s="26"/>
      <c r="J641" s="26"/>
      <c r="K641" s="26"/>
    </row>
    <row r="642" spans="1:11" ht="195" x14ac:dyDescent="0.25">
      <c r="A642" s="55"/>
      <c r="B642" s="26">
        <v>6.3</v>
      </c>
      <c r="C642" s="26" t="s">
        <v>826</v>
      </c>
      <c r="D642" s="28" t="s">
        <v>827</v>
      </c>
      <c r="E642" s="57" t="s">
        <v>830</v>
      </c>
      <c r="F642" s="47"/>
      <c r="G642" s="57" t="s">
        <v>76</v>
      </c>
      <c r="H642" s="26"/>
      <c r="I642" s="26"/>
      <c r="J642" s="26"/>
      <c r="K642" s="26"/>
    </row>
    <row r="643" spans="1:11" ht="195" x14ac:dyDescent="0.25">
      <c r="A643" s="55"/>
      <c r="B643" s="26">
        <v>6.3</v>
      </c>
      <c r="C643" s="26" t="s">
        <v>826</v>
      </c>
      <c r="D643" s="28" t="s">
        <v>827</v>
      </c>
      <c r="E643" s="57" t="s">
        <v>831</v>
      </c>
      <c r="F643" s="47"/>
      <c r="G643" s="57" t="s">
        <v>76</v>
      </c>
      <c r="H643" s="59" t="s">
        <v>832</v>
      </c>
      <c r="I643" s="26"/>
      <c r="J643" s="26"/>
      <c r="K643" s="26"/>
    </row>
    <row r="644" spans="1:11" ht="195" x14ac:dyDescent="0.25">
      <c r="A644" s="55"/>
      <c r="B644" s="26">
        <v>6.3</v>
      </c>
      <c r="C644" s="26" t="s">
        <v>826</v>
      </c>
      <c r="D644" s="28" t="s">
        <v>827</v>
      </c>
      <c r="E644" s="57" t="s">
        <v>833</v>
      </c>
      <c r="F644" s="47"/>
      <c r="G644" s="57" t="s">
        <v>76</v>
      </c>
      <c r="H644" s="26"/>
      <c r="I644" s="26"/>
      <c r="J644" s="26"/>
      <c r="K644" s="26"/>
    </row>
    <row r="645" spans="1:11" ht="195" x14ac:dyDescent="0.25">
      <c r="A645" s="55"/>
      <c r="B645" s="26">
        <v>6.3</v>
      </c>
      <c r="C645" s="26" t="s">
        <v>826</v>
      </c>
      <c r="D645" s="28" t="s">
        <v>834</v>
      </c>
      <c r="E645" s="57" t="s">
        <v>19</v>
      </c>
      <c r="F645" s="26" t="s">
        <v>835</v>
      </c>
      <c r="G645" s="57" t="s">
        <v>19</v>
      </c>
      <c r="H645" s="26"/>
      <c r="I645" s="26"/>
      <c r="J645" s="26"/>
      <c r="K645" s="26"/>
    </row>
    <row r="646" spans="1:11" ht="195" x14ac:dyDescent="0.25">
      <c r="A646" s="55"/>
      <c r="B646" s="26">
        <v>6.3</v>
      </c>
      <c r="C646" s="26" t="s">
        <v>826</v>
      </c>
      <c r="D646" s="28" t="s">
        <v>836</v>
      </c>
      <c r="E646" s="57" t="s">
        <v>837</v>
      </c>
      <c r="F646" s="47"/>
      <c r="G646" s="57" t="s">
        <v>76</v>
      </c>
      <c r="H646" s="26"/>
      <c r="I646" s="26"/>
      <c r="J646" s="26"/>
      <c r="K646" s="26"/>
    </row>
    <row r="647" spans="1:11" ht="195" x14ac:dyDescent="0.25">
      <c r="A647" s="55"/>
      <c r="B647" s="26">
        <v>6.3</v>
      </c>
      <c r="C647" s="26" t="s">
        <v>826</v>
      </c>
      <c r="D647" s="28" t="s">
        <v>836</v>
      </c>
      <c r="E647" s="57" t="s">
        <v>838</v>
      </c>
      <c r="F647" s="47"/>
      <c r="G647" s="57" t="s">
        <v>76</v>
      </c>
      <c r="H647" s="26"/>
      <c r="I647" s="26"/>
      <c r="J647" s="26"/>
      <c r="K647" s="26"/>
    </row>
    <row r="648" spans="1:11" ht="225" x14ac:dyDescent="0.25">
      <c r="A648" s="55"/>
      <c r="B648" s="26">
        <v>6.3</v>
      </c>
      <c r="C648" s="26" t="s">
        <v>826</v>
      </c>
      <c r="D648" s="28" t="s">
        <v>839</v>
      </c>
      <c r="E648" s="57" t="s">
        <v>840</v>
      </c>
      <c r="F648" s="26"/>
      <c r="G648" s="57" t="s">
        <v>76</v>
      </c>
      <c r="H648" s="59">
        <v>183749</v>
      </c>
      <c r="I648" s="26"/>
      <c r="J648" s="26"/>
      <c r="K648" s="26"/>
    </row>
    <row r="649" spans="1:11" ht="409.5" x14ac:dyDescent="0.25">
      <c r="A649" s="55"/>
      <c r="B649" s="26" t="s">
        <v>841</v>
      </c>
      <c r="C649" s="26" t="s">
        <v>842</v>
      </c>
      <c r="D649" s="28" t="s">
        <v>843</v>
      </c>
      <c r="E649" s="71" t="s">
        <v>844</v>
      </c>
      <c r="F649" s="21"/>
      <c r="G649" s="57" t="s">
        <v>76</v>
      </c>
      <c r="H649" s="26"/>
      <c r="I649" s="26"/>
      <c r="J649" s="26"/>
      <c r="K649" s="26"/>
    </row>
    <row r="650" spans="1:11" ht="409.5" x14ac:dyDescent="0.25">
      <c r="A650" s="55"/>
      <c r="B650" s="26" t="s">
        <v>841</v>
      </c>
      <c r="C650" s="26" t="s">
        <v>842</v>
      </c>
      <c r="D650" s="28" t="s">
        <v>845</v>
      </c>
      <c r="E650" s="71" t="s">
        <v>846</v>
      </c>
      <c r="F650" s="21"/>
      <c r="G650" s="57" t="s">
        <v>76</v>
      </c>
      <c r="H650" s="26"/>
      <c r="I650" s="26"/>
      <c r="J650" s="26"/>
      <c r="K650" s="26"/>
    </row>
    <row r="651" spans="1:11" ht="409.5" x14ac:dyDescent="0.25">
      <c r="A651" s="55"/>
      <c r="B651" s="26" t="s">
        <v>841</v>
      </c>
      <c r="C651" s="26" t="s">
        <v>842</v>
      </c>
      <c r="D651" s="28" t="s">
        <v>845</v>
      </c>
      <c r="E651" s="71" t="s">
        <v>847</v>
      </c>
      <c r="F651" s="21"/>
      <c r="G651" s="57" t="s">
        <v>76</v>
      </c>
      <c r="H651" s="26"/>
      <c r="I651" s="26"/>
      <c r="J651" s="26"/>
      <c r="K651" s="26"/>
    </row>
    <row r="652" spans="1:11" ht="409.5" x14ac:dyDescent="0.25">
      <c r="A652" s="55"/>
      <c r="B652" s="26" t="s">
        <v>841</v>
      </c>
      <c r="C652" s="26" t="s">
        <v>842</v>
      </c>
      <c r="D652" s="28" t="s">
        <v>845</v>
      </c>
      <c r="E652" s="71" t="s">
        <v>848</v>
      </c>
      <c r="F652" s="21"/>
      <c r="G652" s="57" t="s">
        <v>76</v>
      </c>
      <c r="H652" s="26"/>
      <c r="I652" s="26"/>
      <c r="J652" s="26"/>
      <c r="K652" s="26"/>
    </row>
    <row r="653" spans="1:11" ht="409.5" x14ac:dyDescent="0.25">
      <c r="A653" s="55"/>
      <c r="B653" s="26" t="s">
        <v>841</v>
      </c>
      <c r="C653" s="26" t="s">
        <v>842</v>
      </c>
      <c r="D653" s="28" t="s">
        <v>845</v>
      </c>
      <c r="E653" s="71" t="s">
        <v>849</v>
      </c>
      <c r="F653" s="21"/>
      <c r="G653" s="57" t="s">
        <v>76</v>
      </c>
      <c r="H653" s="26"/>
      <c r="I653" s="26"/>
      <c r="J653" s="26"/>
      <c r="K653" s="26"/>
    </row>
    <row r="654" spans="1:11" ht="105" x14ac:dyDescent="0.25">
      <c r="A654" s="55"/>
      <c r="B654" s="26" t="s">
        <v>841</v>
      </c>
      <c r="C654" s="26" t="s">
        <v>842</v>
      </c>
      <c r="D654" s="28" t="s">
        <v>850</v>
      </c>
      <c r="E654" s="71" t="s">
        <v>851</v>
      </c>
      <c r="F654" s="21"/>
      <c r="G654" s="57" t="s">
        <v>76</v>
      </c>
      <c r="H654" s="26"/>
      <c r="I654" s="26"/>
      <c r="J654" s="26"/>
      <c r="K654" s="26"/>
    </row>
    <row r="655" spans="1:11" ht="330" x14ac:dyDescent="0.25">
      <c r="A655" s="55"/>
      <c r="B655" s="26" t="s">
        <v>841</v>
      </c>
      <c r="C655" s="26" t="s">
        <v>842</v>
      </c>
      <c r="D655" s="28" t="s">
        <v>852</v>
      </c>
      <c r="E655" s="71" t="s">
        <v>853</v>
      </c>
      <c r="F655" s="26" t="s">
        <v>854</v>
      </c>
      <c r="G655" s="57" t="s">
        <v>39</v>
      </c>
      <c r="H655" s="26"/>
      <c r="I655" s="26"/>
      <c r="J655" s="26"/>
      <c r="K655" s="26"/>
    </row>
    <row r="656" spans="1:11" ht="195" x14ac:dyDescent="0.25">
      <c r="A656" s="55"/>
      <c r="B656" s="26" t="s">
        <v>841</v>
      </c>
      <c r="C656" s="26" t="s">
        <v>842</v>
      </c>
      <c r="D656" s="28" t="s">
        <v>855</v>
      </c>
      <c r="E656" s="71" t="s">
        <v>856</v>
      </c>
      <c r="F656" s="21"/>
      <c r="G656" s="57" t="s">
        <v>76</v>
      </c>
      <c r="H656" s="26"/>
      <c r="I656" s="26"/>
      <c r="J656" s="26"/>
      <c r="K656" s="26"/>
    </row>
    <row r="657" spans="1:11" ht="180" x14ac:dyDescent="0.25">
      <c r="A657" s="55"/>
      <c r="B657" s="26" t="s">
        <v>841</v>
      </c>
      <c r="C657" s="26" t="s">
        <v>842</v>
      </c>
      <c r="D657" s="28" t="s">
        <v>857</v>
      </c>
      <c r="E657" s="71" t="s">
        <v>844</v>
      </c>
      <c r="F657" s="21"/>
      <c r="G657" s="57" t="s">
        <v>76</v>
      </c>
      <c r="H657" s="26"/>
      <c r="I657" s="26"/>
      <c r="J657" s="26"/>
      <c r="K657" s="26"/>
    </row>
    <row r="658" spans="1:11" ht="90" x14ac:dyDescent="0.25">
      <c r="A658" s="55"/>
      <c r="B658" s="26" t="s">
        <v>841</v>
      </c>
      <c r="C658" s="26" t="s">
        <v>842</v>
      </c>
      <c r="D658" s="28" t="s">
        <v>858</v>
      </c>
      <c r="E658" s="71" t="s">
        <v>851</v>
      </c>
      <c r="F658" s="21"/>
      <c r="G658" s="57" t="s">
        <v>76</v>
      </c>
      <c r="H658" s="26"/>
      <c r="I658" s="26"/>
      <c r="J658" s="26"/>
      <c r="K658" s="26"/>
    </row>
    <row r="659" spans="1:11" ht="165" x14ac:dyDescent="0.25">
      <c r="A659" s="55"/>
      <c r="B659" s="26" t="s">
        <v>841</v>
      </c>
      <c r="C659" s="26" t="s">
        <v>842</v>
      </c>
      <c r="D659" s="28" t="s">
        <v>859</v>
      </c>
      <c r="E659" s="76" t="s">
        <v>860</v>
      </c>
      <c r="F659" s="21" t="s">
        <v>861</v>
      </c>
      <c r="G659" s="57" t="s">
        <v>39</v>
      </c>
      <c r="H659" s="26"/>
      <c r="I659" s="26"/>
      <c r="J659" s="26"/>
      <c r="K659" s="26"/>
    </row>
    <row r="660" spans="1:11" ht="150" x14ac:dyDescent="0.25">
      <c r="A660" s="55"/>
      <c r="B660" s="26" t="s">
        <v>841</v>
      </c>
      <c r="C660" s="26" t="s">
        <v>842</v>
      </c>
      <c r="D660" s="28" t="s">
        <v>862</v>
      </c>
      <c r="E660" s="76" t="s">
        <v>863</v>
      </c>
      <c r="F660" s="21" t="s">
        <v>861</v>
      </c>
      <c r="G660" s="57" t="s">
        <v>39</v>
      </c>
      <c r="H660" s="26"/>
      <c r="I660" s="26"/>
      <c r="J660" s="26"/>
      <c r="K660" s="26"/>
    </row>
    <row r="661" spans="1:11" ht="210" x14ac:dyDescent="0.25">
      <c r="A661" s="55"/>
      <c r="B661" s="26" t="s">
        <v>841</v>
      </c>
      <c r="C661" s="26" t="s">
        <v>842</v>
      </c>
      <c r="D661" s="28" t="s">
        <v>864</v>
      </c>
      <c r="E661" s="76" t="s">
        <v>865</v>
      </c>
      <c r="F661" s="21" t="s">
        <v>861</v>
      </c>
      <c r="G661" s="57" t="s">
        <v>39</v>
      </c>
      <c r="H661" s="26"/>
      <c r="I661" s="26"/>
      <c r="J661" s="26"/>
      <c r="K661" s="26"/>
    </row>
    <row r="662" spans="1:11" ht="105" x14ac:dyDescent="0.25">
      <c r="A662" s="55"/>
      <c r="B662" s="26" t="s">
        <v>841</v>
      </c>
      <c r="C662" s="26" t="s">
        <v>842</v>
      </c>
      <c r="D662" s="28" t="s">
        <v>866</v>
      </c>
      <c r="E662" s="76" t="s">
        <v>867</v>
      </c>
      <c r="F662" s="21" t="s">
        <v>861</v>
      </c>
      <c r="G662" s="57" t="s">
        <v>39</v>
      </c>
      <c r="H662" s="26"/>
      <c r="I662" s="26"/>
      <c r="J662" s="26"/>
      <c r="K662" s="26"/>
    </row>
    <row r="663" spans="1:11" ht="225" x14ac:dyDescent="0.25">
      <c r="A663" s="55"/>
      <c r="B663" s="26" t="s">
        <v>841</v>
      </c>
      <c r="C663" s="26" t="s">
        <v>842</v>
      </c>
      <c r="D663" s="28" t="s">
        <v>868</v>
      </c>
      <c r="E663" s="76" t="s">
        <v>869</v>
      </c>
      <c r="F663" s="21" t="s">
        <v>861</v>
      </c>
      <c r="G663" s="57" t="s">
        <v>39</v>
      </c>
      <c r="H663" s="26"/>
      <c r="I663" s="26"/>
      <c r="J663" s="26"/>
      <c r="K663" s="26"/>
    </row>
    <row r="664" spans="1:11" ht="150" x14ac:dyDescent="0.25">
      <c r="A664" s="55"/>
      <c r="B664" s="26" t="s">
        <v>841</v>
      </c>
      <c r="C664" s="26" t="s">
        <v>842</v>
      </c>
      <c r="D664" s="28" t="s">
        <v>870</v>
      </c>
      <c r="E664" s="57" t="s">
        <v>871</v>
      </c>
      <c r="F664" s="26" t="s">
        <v>854</v>
      </c>
      <c r="G664" s="57" t="s">
        <v>39</v>
      </c>
      <c r="H664" s="26"/>
      <c r="I664" s="26"/>
      <c r="J664" s="26"/>
      <c r="K664" s="26"/>
    </row>
    <row r="665" spans="1:11" ht="270" x14ac:dyDescent="0.25">
      <c r="A665" s="55"/>
      <c r="B665" s="26" t="s">
        <v>841</v>
      </c>
      <c r="C665" s="26" t="s">
        <v>842</v>
      </c>
      <c r="D665" s="28" t="s">
        <v>872</v>
      </c>
      <c r="E665" s="57" t="s">
        <v>873</v>
      </c>
      <c r="F665" s="26" t="s">
        <v>854</v>
      </c>
      <c r="G665" s="57" t="s">
        <v>39</v>
      </c>
      <c r="H665" s="26"/>
      <c r="I665" s="26"/>
      <c r="J665" s="26"/>
      <c r="K665" s="26"/>
    </row>
    <row r="666" spans="1:11" x14ac:dyDescent="0.25">
      <c r="A666" s="55"/>
      <c r="B666" s="26" t="s">
        <v>841</v>
      </c>
      <c r="C666" s="26" t="s">
        <v>842</v>
      </c>
      <c r="D666" s="26" t="s">
        <v>874</v>
      </c>
      <c r="E666" s="57" t="s">
        <v>875</v>
      </c>
      <c r="F666" s="26" t="s">
        <v>854</v>
      </c>
      <c r="G666" s="57" t="s">
        <v>39</v>
      </c>
      <c r="H666" s="26"/>
      <c r="I666" s="26"/>
      <c r="J666" s="26"/>
      <c r="K666" s="26"/>
    </row>
    <row r="667" spans="1:11" ht="270" x14ac:dyDescent="0.25">
      <c r="A667" s="55"/>
      <c r="B667" s="26" t="s">
        <v>876</v>
      </c>
      <c r="C667" s="26" t="s">
        <v>877</v>
      </c>
      <c r="D667" s="28" t="s">
        <v>878</v>
      </c>
      <c r="E667" s="57" t="s">
        <v>875</v>
      </c>
      <c r="F667" s="26" t="s">
        <v>854</v>
      </c>
      <c r="G667" s="57" t="s">
        <v>39</v>
      </c>
      <c r="H667" s="26"/>
      <c r="I667" s="26"/>
      <c r="J667" s="26"/>
      <c r="K667" s="26"/>
    </row>
    <row r="668" spans="1:11" ht="165" x14ac:dyDescent="0.25">
      <c r="A668" s="55"/>
      <c r="B668" s="26" t="s">
        <v>876</v>
      </c>
      <c r="C668" s="26" t="s">
        <v>877</v>
      </c>
      <c r="D668" s="28" t="s">
        <v>879</v>
      </c>
      <c r="E668" s="57" t="s">
        <v>853</v>
      </c>
      <c r="F668" s="26" t="s">
        <v>854</v>
      </c>
      <c r="G668" s="57" t="s">
        <v>39</v>
      </c>
      <c r="H668" s="26"/>
      <c r="I668" s="26"/>
      <c r="J668" s="26"/>
      <c r="K668" s="26"/>
    </row>
    <row r="669" spans="1:11" ht="225" x14ac:dyDescent="0.25">
      <c r="A669" s="55"/>
      <c r="B669" s="26" t="s">
        <v>876</v>
      </c>
      <c r="C669" s="26" t="s">
        <v>877</v>
      </c>
      <c r="D669" s="28" t="s">
        <v>880</v>
      </c>
      <c r="E669" s="57" t="s">
        <v>881</v>
      </c>
      <c r="F669" s="26" t="s">
        <v>854</v>
      </c>
      <c r="G669" s="57" t="s">
        <v>39</v>
      </c>
      <c r="H669" s="26"/>
      <c r="I669" s="26"/>
      <c r="J669" s="26"/>
      <c r="K669" s="26"/>
    </row>
    <row r="670" spans="1:11" ht="285" x14ac:dyDescent="0.25">
      <c r="A670" s="55"/>
      <c r="B670" s="26" t="s">
        <v>876</v>
      </c>
      <c r="C670" s="26" t="s">
        <v>877</v>
      </c>
      <c r="D670" s="28" t="s">
        <v>882</v>
      </c>
      <c r="E670" s="57" t="s">
        <v>883</v>
      </c>
      <c r="F670" s="26" t="s">
        <v>854</v>
      </c>
      <c r="G670" s="57" t="s">
        <v>39</v>
      </c>
      <c r="H670" s="26"/>
      <c r="I670" s="26"/>
      <c r="J670" s="26"/>
      <c r="K670" s="26"/>
    </row>
    <row r="671" spans="1:11" x14ac:dyDescent="0.25">
      <c r="A671" s="55"/>
      <c r="B671" s="26" t="s">
        <v>876</v>
      </c>
      <c r="C671" s="26" t="s">
        <v>877</v>
      </c>
      <c r="D671" s="26" t="s">
        <v>884</v>
      </c>
      <c r="E671" s="71" t="s">
        <v>873</v>
      </c>
      <c r="F671" s="21" t="s">
        <v>166</v>
      </c>
      <c r="G671" s="57" t="s">
        <v>39</v>
      </c>
      <c r="H671" s="26"/>
      <c r="I671" s="26"/>
      <c r="J671" s="26"/>
      <c r="K671" s="26"/>
    </row>
    <row r="672" spans="1:11" x14ac:dyDescent="0.25">
      <c r="A672" s="55"/>
      <c r="B672" s="26" t="s">
        <v>885</v>
      </c>
      <c r="C672" s="26" t="s">
        <v>886</v>
      </c>
      <c r="D672" s="26" t="s">
        <v>887</v>
      </c>
      <c r="E672" s="71" t="s">
        <v>888</v>
      </c>
      <c r="F672" s="21" t="s">
        <v>166</v>
      </c>
      <c r="G672" s="57" t="s">
        <v>39</v>
      </c>
      <c r="H672" s="26"/>
      <c r="I672" s="26"/>
      <c r="J672" s="26"/>
      <c r="K672" s="26"/>
    </row>
    <row r="673" spans="1:11" x14ac:dyDescent="0.25">
      <c r="A673" s="55"/>
      <c r="B673" s="21">
        <v>6.4</v>
      </c>
      <c r="C673" s="26" t="s">
        <v>889</v>
      </c>
      <c r="D673" s="21" t="s">
        <v>890</v>
      </c>
      <c r="E673" s="71" t="s">
        <v>103</v>
      </c>
      <c r="F673" s="21"/>
      <c r="G673" s="71" t="s">
        <v>103</v>
      </c>
      <c r="H673" s="21"/>
      <c r="I673" s="26"/>
      <c r="J673" s="26"/>
      <c r="K673" s="26"/>
    </row>
    <row r="674" spans="1:11" ht="361.5" x14ac:dyDescent="0.25">
      <c r="A674" s="55"/>
      <c r="B674" s="21" t="s">
        <v>891</v>
      </c>
      <c r="C674" s="21" t="s">
        <v>892</v>
      </c>
      <c r="D674" s="36" t="s">
        <v>893</v>
      </c>
      <c r="E674" s="71" t="s">
        <v>103</v>
      </c>
      <c r="F674" s="21"/>
      <c r="G674" s="71" t="s">
        <v>103</v>
      </c>
      <c r="H674" s="21"/>
      <c r="I674" s="26"/>
      <c r="J674" s="26"/>
      <c r="K674" s="26"/>
    </row>
    <row r="675" spans="1:11" ht="172.5" x14ac:dyDescent="0.25">
      <c r="A675" s="55"/>
      <c r="B675" s="21" t="s">
        <v>891</v>
      </c>
      <c r="C675" s="21" t="s">
        <v>892</v>
      </c>
      <c r="D675" s="36" t="s">
        <v>894</v>
      </c>
      <c r="E675" s="71" t="s">
        <v>103</v>
      </c>
      <c r="F675" s="21"/>
      <c r="G675" s="71" t="s">
        <v>103</v>
      </c>
      <c r="H675" s="21"/>
      <c r="I675" s="26"/>
      <c r="J675" s="26"/>
      <c r="K675" s="26"/>
    </row>
    <row r="676" spans="1:11" ht="330.75" x14ac:dyDescent="0.25">
      <c r="A676" s="55"/>
      <c r="B676" s="21" t="s">
        <v>891</v>
      </c>
      <c r="C676" s="21" t="s">
        <v>892</v>
      </c>
      <c r="D676" s="36" t="s">
        <v>895</v>
      </c>
      <c r="E676" s="71" t="s">
        <v>103</v>
      </c>
      <c r="F676" s="21"/>
      <c r="G676" s="71" t="s">
        <v>103</v>
      </c>
      <c r="H676" s="21"/>
      <c r="I676" s="26"/>
      <c r="J676" s="26"/>
      <c r="K676" s="26"/>
    </row>
    <row r="677" spans="1:11" ht="157.5" x14ac:dyDescent="0.25">
      <c r="A677" s="55"/>
      <c r="B677" s="21" t="s">
        <v>891</v>
      </c>
      <c r="C677" s="21" t="s">
        <v>892</v>
      </c>
      <c r="D677" s="36" t="s">
        <v>896</v>
      </c>
      <c r="E677" s="71" t="s">
        <v>103</v>
      </c>
      <c r="F677" s="21"/>
      <c r="G677" s="71" t="s">
        <v>103</v>
      </c>
      <c r="H677" s="21"/>
      <c r="I677" s="26"/>
      <c r="J677" s="26"/>
      <c r="K677" s="26"/>
    </row>
    <row r="678" spans="1:11" ht="409.5" x14ac:dyDescent="0.25">
      <c r="A678" s="55"/>
      <c r="B678" s="21" t="s">
        <v>891</v>
      </c>
      <c r="C678" s="21" t="s">
        <v>892</v>
      </c>
      <c r="D678" s="36" t="s">
        <v>897</v>
      </c>
      <c r="E678" s="71" t="s">
        <v>103</v>
      </c>
      <c r="F678" s="21"/>
      <c r="G678" s="71" t="s">
        <v>103</v>
      </c>
      <c r="H678" s="21"/>
      <c r="I678" s="26"/>
      <c r="J678" s="26"/>
      <c r="K678" s="26"/>
    </row>
    <row r="679" spans="1:11" ht="409.5" x14ac:dyDescent="0.25">
      <c r="A679" s="55"/>
      <c r="B679" s="21" t="s">
        <v>891</v>
      </c>
      <c r="C679" s="21" t="s">
        <v>892</v>
      </c>
      <c r="D679" s="36" t="s">
        <v>898</v>
      </c>
      <c r="E679" s="71" t="s">
        <v>103</v>
      </c>
      <c r="F679" s="21"/>
      <c r="G679" s="71" t="s">
        <v>103</v>
      </c>
      <c r="H679" s="21"/>
      <c r="I679" s="26"/>
      <c r="J679" s="26"/>
      <c r="K679" s="26"/>
    </row>
    <row r="680" spans="1:11" ht="283.5" x14ac:dyDescent="0.25">
      <c r="A680" s="55"/>
      <c r="B680" s="21" t="s">
        <v>891</v>
      </c>
      <c r="C680" s="21" t="s">
        <v>892</v>
      </c>
      <c r="D680" s="39" t="s">
        <v>899</v>
      </c>
      <c r="E680" s="71" t="s">
        <v>103</v>
      </c>
      <c r="F680" s="21"/>
      <c r="G680" s="71" t="s">
        <v>103</v>
      </c>
      <c r="H680" s="21"/>
      <c r="I680" s="26"/>
      <c r="J680" s="26"/>
      <c r="K680" s="26"/>
    </row>
    <row r="681" spans="1:11" x14ac:dyDescent="0.25">
      <c r="A681" s="55"/>
      <c r="B681" s="21" t="s">
        <v>891</v>
      </c>
      <c r="C681" s="21" t="s">
        <v>892</v>
      </c>
      <c r="D681" s="21" t="s">
        <v>900</v>
      </c>
      <c r="E681" s="71" t="s">
        <v>901</v>
      </c>
      <c r="F681" s="21"/>
      <c r="G681" s="71" t="s">
        <v>76</v>
      </c>
      <c r="H681" s="21"/>
      <c r="I681" s="26"/>
      <c r="J681" s="26"/>
      <c r="K681" s="26"/>
    </row>
    <row r="682" spans="1:11" x14ac:dyDescent="0.25">
      <c r="A682" s="55"/>
      <c r="B682" s="21" t="s">
        <v>891</v>
      </c>
      <c r="C682" s="21" t="s">
        <v>892</v>
      </c>
      <c r="D682" s="21" t="s">
        <v>900</v>
      </c>
      <c r="E682" s="71" t="s">
        <v>902</v>
      </c>
      <c r="F682" s="21"/>
      <c r="G682" s="71" t="s">
        <v>76</v>
      </c>
      <c r="H682" s="21"/>
      <c r="I682" s="26"/>
      <c r="J682" s="26"/>
      <c r="K682" s="26"/>
    </row>
    <row r="683" spans="1:11" ht="252" x14ac:dyDescent="0.25">
      <c r="A683" s="55"/>
      <c r="B683" s="21" t="s">
        <v>891</v>
      </c>
      <c r="C683" s="21" t="s">
        <v>892</v>
      </c>
      <c r="D683" s="36" t="s">
        <v>903</v>
      </c>
      <c r="E683" s="71" t="s">
        <v>904</v>
      </c>
      <c r="F683" s="21"/>
      <c r="G683" s="71" t="s">
        <v>76</v>
      </c>
      <c r="H683" s="21"/>
      <c r="I683" s="26"/>
      <c r="J683" s="26"/>
      <c r="K683" s="26"/>
    </row>
    <row r="684" spans="1:11" ht="157.5" x14ac:dyDescent="0.25">
      <c r="A684" s="55"/>
      <c r="B684" s="21" t="s">
        <v>891</v>
      </c>
      <c r="C684" s="21" t="s">
        <v>892</v>
      </c>
      <c r="D684" s="36" t="s">
        <v>905</v>
      </c>
      <c r="E684" s="71" t="s">
        <v>906</v>
      </c>
      <c r="F684" s="21"/>
      <c r="G684" s="71" t="s">
        <v>76</v>
      </c>
      <c r="H684" s="21"/>
      <c r="I684" s="26"/>
      <c r="J684" s="26"/>
      <c r="K684" s="26"/>
    </row>
    <row r="685" spans="1:11" ht="220.5" x14ac:dyDescent="0.25">
      <c r="A685" s="55"/>
      <c r="B685" s="21" t="s">
        <v>891</v>
      </c>
      <c r="C685" s="21" t="s">
        <v>892</v>
      </c>
      <c r="D685" s="36" t="s">
        <v>907</v>
      </c>
      <c r="E685" s="71" t="s">
        <v>103</v>
      </c>
      <c r="F685" s="21"/>
      <c r="G685" s="71" t="s">
        <v>103</v>
      </c>
      <c r="H685" s="21"/>
      <c r="I685" s="26"/>
      <c r="J685" s="26"/>
      <c r="K685" s="26"/>
    </row>
    <row r="686" spans="1:11" ht="189" x14ac:dyDescent="0.25">
      <c r="A686" s="55"/>
      <c r="B686" s="21" t="s">
        <v>891</v>
      </c>
      <c r="C686" s="21" t="s">
        <v>892</v>
      </c>
      <c r="D686" s="36" t="s">
        <v>908</v>
      </c>
      <c r="E686" s="71" t="s">
        <v>103</v>
      </c>
      <c r="F686" s="21"/>
      <c r="G686" s="71" t="s">
        <v>103</v>
      </c>
      <c r="H686" s="21"/>
      <c r="I686" s="26"/>
      <c r="J686" s="26"/>
      <c r="K686" s="26"/>
    </row>
    <row r="687" spans="1:11" ht="267.75" x14ac:dyDescent="0.25">
      <c r="A687" s="55"/>
      <c r="B687" s="21" t="s">
        <v>891</v>
      </c>
      <c r="C687" s="21" t="s">
        <v>892</v>
      </c>
      <c r="D687" s="36" t="s">
        <v>909</v>
      </c>
      <c r="E687" s="71" t="s">
        <v>103</v>
      </c>
      <c r="F687" s="21"/>
      <c r="G687" s="71" t="s">
        <v>103</v>
      </c>
      <c r="H687" s="21"/>
      <c r="I687" s="26"/>
      <c r="J687" s="26"/>
      <c r="K687" s="26"/>
    </row>
    <row r="688" spans="1:11" ht="283.5" x14ac:dyDescent="0.25">
      <c r="A688" s="55"/>
      <c r="B688" s="21" t="s">
        <v>891</v>
      </c>
      <c r="C688" s="21" t="s">
        <v>892</v>
      </c>
      <c r="D688" s="36" t="s">
        <v>910</v>
      </c>
      <c r="E688" s="71" t="s">
        <v>103</v>
      </c>
      <c r="F688" s="21"/>
      <c r="G688" s="71" t="s">
        <v>103</v>
      </c>
      <c r="H688" s="21"/>
      <c r="I688" s="26"/>
      <c r="J688" s="26"/>
      <c r="K688" s="26"/>
    </row>
    <row r="689" spans="1:11" ht="228" x14ac:dyDescent="0.25">
      <c r="A689" s="55"/>
      <c r="B689" s="21" t="s">
        <v>891</v>
      </c>
      <c r="C689" s="21" t="s">
        <v>892</v>
      </c>
      <c r="D689" s="36" t="s">
        <v>911</v>
      </c>
      <c r="E689" s="71" t="s">
        <v>103</v>
      </c>
      <c r="F689" s="21"/>
      <c r="G689" s="71" t="s">
        <v>103</v>
      </c>
      <c r="H689" s="21"/>
      <c r="I689" s="26"/>
      <c r="J689" s="26"/>
      <c r="K689" s="26"/>
    </row>
    <row r="690" spans="1:11" ht="330.75" x14ac:dyDescent="0.25">
      <c r="A690" s="55"/>
      <c r="B690" s="21" t="s">
        <v>891</v>
      </c>
      <c r="C690" s="21" t="s">
        <v>892</v>
      </c>
      <c r="D690" s="36" t="s">
        <v>912</v>
      </c>
      <c r="E690" s="71" t="s">
        <v>103</v>
      </c>
      <c r="F690" s="21"/>
      <c r="G690" s="71" t="s">
        <v>103</v>
      </c>
      <c r="H690" s="21"/>
      <c r="I690" s="26"/>
      <c r="J690" s="26"/>
      <c r="K690" s="26"/>
    </row>
    <row r="691" spans="1:11" ht="409.5" x14ac:dyDescent="0.25">
      <c r="A691" s="55"/>
      <c r="B691" s="21" t="s">
        <v>891</v>
      </c>
      <c r="C691" s="21" t="s">
        <v>892</v>
      </c>
      <c r="D691" s="36" t="s">
        <v>913</v>
      </c>
      <c r="E691" s="71" t="s">
        <v>103</v>
      </c>
      <c r="F691" s="21"/>
      <c r="G691" s="71" t="s">
        <v>103</v>
      </c>
      <c r="H691" s="21"/>
      <c r="I691" s="26"/>
      <c r="J691" s="26"/>
      <c r="K691" s="26"/>
    </row>
    <row r="692" spans="1:11" ht="173.25" x14ac:dyDescent="0.25">
      <c r="A692" s="55"/>
      <c r="B692" s="21" t="s">
        <v>891</v>
      </c>
      <c r="C692" s="21" t="s">
        <v>892</v>
      </c>
      <c r="D692" s="36" t="s">
        <v>914</v>
      </c>
      <c r="E692" s="71" t="s">
        <v>103</v>
      </c>
      <c r="F692" s="21"/>
      <c r="G692" s="71" t="s">
        <v>103</v>
      </c>
      <c r="H692" s="21"/>
      <c r="I692" s="26"/>
      <c r="J692" s="26"/>
      <c r="K692" s="26"/>
    </row>
    <row r="693" spans="1:11" ht="204.75" x14ac:dyDescent="0.25">
      <c r="A693" s="55"/>
      <c r="B693" s="21" t="s">
        <v>891</v>
      </c>
      <c r="C693" s="21" t="s">
        <v>892</v>
      </c>
      <c r="D693" s="36" t="s">
        <v>915</v>
      </c>
      <c r="E693" s="71" t="s">
        <v>103</v>
      </c>
      <c r="F693" s="21"/>
      <c r="G693" s="71" t="s">
        <v>103</v>
      </c>
      <c r="H693" s="21"/>
      <c r="I693" s="26"/>
      <c r="J693" s="26"/>
      <c r="K693" s="26"/>
    </row>
    <row r="694" spans="1:11" ht="267" x14ac:dyDescent="0.25">
      <c r="A694" s="55"/>
      <c r="B694" s="21" t="s">
        <v>891</v>
      </c>
      <c r="C694" s="21" t="s">
        <v>892</v>
      </c>
      <c r="D694" s="36" t="s">
        <v>916</v>
      </c>
      <c r="E694" s="71" t="s">
        <v>103</v>
      </c>
      <c r="F694" s="21"/>
      <c r="G694" s="71" t="s">
        <v>103</v>
      </c>
      <c r="H694" s="21"/>
      <c r="I694" s="26"/>
      <c r="J694" s="26"/>
      <c r="K694" s="26"/>
    </row>
    <row r="695" spans="1:11" x14ac:dyDescent="0.25">
      <c r="A695" s="55"/>
      <c r="B695" s="21">
        <v>6.5</v>
      </c>
      <c r="C695" s="21" t="s">
        <v>917</v>
      </c>
      <c r="D695" s="26" t="s">
        <v>918</v>
      </c>
      <c r="E695" s="71" t="s">
        <v>919</v>
      </c>
      <c r="F695" s="21"/>
      <c r="G695" s="71" t="s">
        <v>136</v>
      </c>
      <c r="H695" s="21">
        <v>187577</v>
      </c>
      <c r="I695" s="26" t="s">
        <v>90</v>
      </c>
      <c r="J695" s="61">
        <v>42747</v>
      </c>
      <c r="K695" s="26"/>
    </row>
    <row r="696" spans="1:11" x14ac:dyDescent="0.25">
      <c r="A696" s="55"/>
      <c r="B696" s="21">
        <v>6.5</v>
      </c>
      <c r="C696" s="21" t="s">
        <v>917</v>
      </c>
      <c r="D696" s="26" t="s">
        <v>918</v>
      </c>
      <c r="E696" s="71" t="s">
        <v>920</v>
      </c>
      <c r="F696" s="21"/>
      <c r="G696" s="71" t="s">
        <v>76</v>
      </c>
      <c r="H696" s="21"/>
      <c r="I696" s="26"/>
      <c r="J696" s="26"/>
      <c r="K696" s="26"/>
    </row>
    <row r="697" spans="1:11" ht="119.25" x14ac:dyDescent="0.25">
      <c r="A697" s="55"/>
      <c r="B697" s="21">
        <v>6.5</v>
      </c>
      <c r="C697" s="21" t="s">
        <v>917</v>
      </c>
      <c r="D697" s="35" t="s">
        <v>921</v>
      </c>
      <c r="E697" s="71" t="s">
        <v>920</v>
      </c>
      <c r="F697" s="21"/>
      <c r="G697" s="71" t="s">
        <v>76</v>
      </c>
      <c r="H697" s="21"/>
      <c r="I697" s="26"/>
      <c r="J697" s="26"/>
      <c r="K697" s="26"/>
    </row>
    <row r="698" spans="1:11" ht="119.25" x14ac:dyDescent="0.25">
      <c r="A698" s="55"/>
      <c r="B698" s="21">
        <v>6.5</v>
      </c>
      <c r="C698" s="21" t="s">
        <v>917</v>
      </c>
      <c r="D698" s="35" t="s">
        <v>921</v>
      </c>
      <c r="E698" s="71" t="s">
        <v>922</v>
      </c>
      <c r="F698" s="21"/>
      <c r="G698" s="71" t="s">
        <v>76</v>
      </c>
      <c r="H698" s="21"/>
      <c r="I698" s="26"/>
      <c r="J698" s="26"/>
      <c r="K698" s="26"/>
    </row>
    <row r="699" spans="1:11" ht="120" x14ac:dyDescent="0.25">
      <c r="A699" s="55"/>
      <c r="B699" s="21">
        <v>6.5</v>
      </c>
      <c r="C699" s="21" t="s">
        <v>917</v>
      </c>
      <c r="D699" s="35" t="s">
        <v>923</v>
      </c>
      <c r="E699" s="71" t="s">
        <v>924</v>
      </c>
      <c r="F699" s="21"/>
      <c r="G699" s="71" t="s">
        <v>76</v>
      </c>
      <c r="H699" s="23">
        <v>187577</v>
      </c>
      <c r="I699" s="26" t="s">
        <v>90</v>
      </c>
      <c r="J699" s="61">
        <v>42747</v>
      </c>
      <c r="K699" s="26"/>
    </row>
    <row r="700" spans="1:11" ht="120" x14ac:dyDescent="0.25">
      <c r="A700" s="55"/>
      <c r="B700" s="21">
        <v>6.5</v>
      </c>
      <c r="C700" s="21" t="s">
        <v>917</v>
      </c>
      <c r="D700" s="35" t="s">
        <v>923</v>
      </c>
      <c r="E700" s="71" t="s">
        <v>925</v>
      </c>
      <c r="F700" s="21"/>
      <c r="G700" s="71" t="s">
        <v>76</v>
      </c>
      <c r="H700" s="21"/>
      <c r="I700" s="26"/>
      <c r="J700" s="26"/>
      <c r="K700" s="26"/>
    </row>
    <row r="701" spans="1:11" x14ac:dyDescent="0.25">
      <c r="A701" s="55"/>
      <c r="B701" s="21">
        <v>6.5</v>
      </c>
      <c r="C701" s="21" t="s">
        <v>917</v>
      </c>
      <c r="D701" s="26" t="s">
        <v>926</v>
      </c>
      <c r="E701" s="71" t="s">
        <v>924</v>
      </c>
      <c r="F701" s="21"/>
      <c r="G701" s="71" t="s">
        <v>76</v>
      </c>
      <c r="H701" s="21"/>
      <c r="I701" s="26"/>
      <c r="J701" s="26"/>
      <c r="K701" s="26"/>
    </row>
    <row r="702" spans="1:11" ht="409.5" x14ac:dyDescent="0.25">
      <c r="A702" s="55"/>
      <c r="B702" s="21">
        <v>6.6</v>
      </c>
      <c r="C702" s="21" t="s">
        <v>927</v>
      </c>
      <c r="D702" s="35" t="s">
        <v>928</v>
      </c>
      <c r="E702" s="57" t="s">
        <v>929</v>
      </c>
      <c r="F702" s="47"/>
      <c r="G702" s="71" t="s">
        <v>76</v>
      </c>
      <c r="H702" s="21"/>
      <c r="I702" s="26"/>
      <c r="J702" s="26"/>
      <c r="K702" s="26"/>
    </row>
    <row r="703" spans="1:11" ht="255" x14ac:dyDescent="0.25">
      <c r="A703" s="55"/>
      <c r="B703" s="21">
        <v>6.6</v>
      </c>
      <c r="C703" s="21" t="s">
        <v>927</v>
      </c>
      <c r="D703" s="35" t="s">
        <v>930</v>
      </c>
      <c r="E703" s="57" t="s">
        <v>931</v>
      </c>
      <c r="F703" s="47"/>
      <c r="G703" s="71" t="s">
        <v>76</v>
      </c>
      <c r="H703" s="21"/>
      <c r="I703" s="26"/>
      <c r="J703" s="26"/>
      <c r="K703" s="26"/>
    </row>
    <row r="704" spans="1:11" ht="150" x14ac:dyDescent="0.25">
      <c r="A704" s="55"/>
      <c r="B704" s="21">
        <v>6.6</v>
      </c>
      <c r="C704" s="21" t="s">
        <v>927</v>
      </c>
      <c r="D704" s="35" t="s">
        <v>932</v>
      </c>
      <c r="E704" s="57" t="s">
        <v>933</v>
      </c>
      <c r="F704" s="47"/>
      <c r="G704" s="71" t="s">
        <v>76</v>
      </c>
      <c r="H704" s="21"/>
      <c r="I704" s="26"/>
      <c r="J704" s="26"/>
      <c r="K704" s="26"/>
    </row>
    <row r="705" spans="1:11" ht="75" x14ac:dyDescent="0.25">
      <c r="A705" s="55"/>
      <c r="B705" s="21">
        <v>6.6</v>
      </c>
      <c r="C705" s="21" t="s">
        <v>927</v>
      </c>
      <c r="D705" s="35" t="s">
        <v>934</v>
      </c>
      <c r="E705" s="57" t="s">
        <v>929</v>
      </c>
      <c r="F705" s="47"/>
      <c r="G705" s="71" t="s">
        <v>76</v>
      </c>
      <c r="H705" s="21"/>
      <c r="I705" s="26"/>
      <c r="J705" s="26"/>
      <c r="K705" s="26"/>
    </row>
    <row r="706" spans="1:11" ht="180" x14ac:dyDescent="0.25">
      <c r="A706" s="55"/>
      <c r="B706" s="21">
        <v>6.6</v>
      </c>
      <c r="C706" s="21" t="s">
        <v>927</v>
      </c>
      <c r="D706" s="35" t="s">
        <v>935</v>
      </c>
      <c r="E706" s="57" t="s">
        <v>929</v>
      </c>
      <c r="F706" s="47"/>
      <c r="G706" s="71" t="s">
        <v>76</v>
      </c>
      <c r="H706" s="21"/>
      <c r="I706" s="26"/>
      <c r="J706" s="26"/>
      <c r="K706" s="26"/>
    </row>
    <row r="707" spans="1:11" ht="409.5" x14ac:dyDescent="0.25">
      <c r="A707" s="55"/>
      <c r="B707" s="21">
        <v>6.6</v>
      </c>
      <c r="C707" s="21" t="s">
        <v>927</v>
      </c>
      <c r="D707" s="28" t="s">
        <v>936</v>
      </c>
      <c r="E707" s="57" t="s">
        <v>937</v>
      </c>
      <c r="F707" s="47"/>
      <c r="G707" s="71" t="s">
        <v>76</v>
      </c>
      <c r="H707" s="69">
        <v>175778</v>
      </c>
      <c r="I707" s="26"/>
      <c r="J707" s="26"/>
      <c r="K707" s="26"/>
    </row>
    <row r="708" spans="1:11" ht="409.5" x14ac:dyDescent="0.25">
      <c r="A708" s="55"/>
      <c r="B708" s="21">
        <v>6.6</v>
      </c>
      <c r="C708" s="21" t="s">
        <v>927</v>
      </c>
      <c r="D708" s="28" t="s">
        <v>936</v>
      </c>
      <c r="E708" s="57" t="s">
        <v>938</v>
      </c>
      <c r="F708" s="47"/>
      <c r="G708" s="71" t="s">
        <v>76</v>
      </c>
      <c r="H708" s="69">
        <v>175778</v>
      </c>
      <c r="I708" s="26"/>
      <c r="J708" s="26"/>
      <c r="K708" s="26"/>
    </row>
    <row r="709" spans="1:11" ht="409.5" x14ac:dyDescent="0.25">
      <c r="A709" s="55"/>
      <c r="B709" s="21">
        <v>6.6</v>
      </c>
      <c r="C709" s="21" t="s">
        <v>927</v>
      </c>
      <c r="D709" s="28" t="s">
        <v>936</v>
      </c>
      <c r="E709" s="57" t="s">
        <v>939</v>
      </c>
      <c r="F709" s="47"/>
      <c r="G709" s="71" t="s">
        <v>76</v>
      </c>
      <c r="H709" s="69">
        <v>175778</v>
      </c>
      <c r="I709" s="26"/>
      <c r="J709" s="26"/>
      <c r="K709" s="26"/>
    </row>
    <row r="710" spans="1:11" ht="105" x14ac:dyDescent="0.25">
      <c r="A710" s="55"/>
      <c r="B710" s="21">
        <v>6.7</v>
      </c>
      <c r="C710" s="21" t="s">
        <v>940</v>
      </c>
      <c r="D710" s="35" t="s">
        <v>941</v>
      </c>
      <c r="E710" s="57" t="s">
        <v>942</v>
      </c>
      <c r="F710" s="47"/>
      <c r="G710" s="71" t="s">
        <v>76</v>
      </c>
      <c r="H710" s="21"/>
      <c r="I710" s="26"/>
      <c r="J710" s="26"/>
      <c r="K710" s="26"/>
    </row>
    <row r="711" spans="1:11" ht="150" x14ac:dyDescent="0.25">
      <c r="A711" s="55"/>
      <c r="B711" s="21">
        <v>6.7</v>
      </c>
      <c r="C711" s="21" t="s">
        <v>940</v>
      </c>
      <c r="D711" s="35" t="s">
        <v>943</v>
      </c>
      <c r="E711" s="57" t="s">
        <v>942</v>
      </c>
      <c r="F711" s="47"/>
      <c r="G711" s="71" t="s">
        <v>76</v>
      </c>
      <c r="H711" s="21"/>
      <c r="I711" s="26"/>
      <c r="J711" s="26"/>
      <c r="K711" s="26"/>
    </row>
    <row r="712" spans="1:11" ht="210" x14ac:dyDescent="0.25">
      <c r="A712" s="55"/>
      <c r="B712" s="21">
        <v>6.7</v>
      </c>
      <c r="C712" s="21" t="s">
        <v>940</v>
      </c>
      <c r="D712" s="35" t="s">
        <v>944</v>
      </c>
      <c r="E712" s="57" t="s">
        <v>942</v>
      </c>
      <c r="F712" s="47"/>
      <c r="G712" s="71" t="s">
        <v>76</v>
      </c>
      <c r="H712" s="21"/>
      <c r="I712" s="26"/>
      <c r="J712" s="26"/>
      <c r="K712" s="26"/>
    </row>
    <row r="713" spans="1:11" ht="240" x14ac:dyDescent="0.25">
      <c r="A713" s="55"/>
      <c r="B713" s="21">
        <v>6.7</v>
      </c>
      <c r="C713" s="21" t="s">
        <v>940</v>
      </c>
      <c r="D713" s="35" t="s">
        <v>945</v>
      </c>
      <c r="E713" s="57" t="s">
        <v>946</v>
      </c>
      <c r="F713" s="47"/>
      <c r="G713" s="71" t="s">
        <v>76</v>
      </c>
      <c r="H713" s="21"/>
      <c r="I713" s="26"/>
      <c r="J713" s="26"/>
      <c r="K713" s="26"/>
    </row>
    <row r="714" spans="1:11" ht="255" x14ac:dyDescent="0.25">
      <c r="A714" s="55"/>
      <c r="B714" s="21">
        <v>6.7</v>
      </c>
      <c r="C714" s="21" t="s">
        <v>940</v>
      </c>
      <c r="D714" s="35" t="s">
        <v>947</v>
      </c>
      <c r="E714" s="57" t="s">
        <v>946</v>
      </c>
      <c r="F714" s="47"/>
      <c r="G714" s="71" t="s">
        <v>76</v>
      </c>
      <c r="H714" s="21"/>
      <c r="I714" s="26"/>
      <c r="J714" s="26"/>
      <c r="K714" s="26"/>
    </row>
    <row r="715" spans="1:11" ht="150" x14ac:dyDescent="0.25">
      <c r="A715" s="55"/>
      <c r="B715" s="21">
        <v>6.7</v>
      </c>
      <c r="C715" s="21" t="s">
        <v>940</v>
      </c>
      <c r="D715" s="35" t="s">
        <v>948</v>
      </c>
      <c r="E715" s="57" t="s">
        <v>942</v>
      </c>
      <c r="F715" s="47"/>
      <c r="G715" s="71" t="s">
        <v>76</v>
      </c>
      <c r="H715" s="21"/>
      <c r="I715" s="26"/>
      <c r="J715" s="26"/>
      <c r="K715" s="26"/>
    </row>
    <row r="716" spans="1:11" x14ac:dyDescent="0.25">
      <c r="A716" s="55"/>
      <c r="B716" s="21">
        <v>6.7</v>
      </c>
      <c r="C716" s="21" t="s">
        <v>940</v>
      </c>
      <c r="D716" s="26" t="s">
        <v>949</v>
      </c>
      <c r="E716" s="57" t="s">
        <v>942</v>
      </c>
      <c r="F716" s="47"/>
      <c r="G716" s="71" t="s">
        <v>76</v>
      </c>
      <c r="H716" s="21"/>
      <c r="I716" s="26"/>
      <c r="J716" s="26"/>
      <c r="K716" s="26"/>
    </row>
    <row r="717" spans="1:11" ht="15.75" x14ac:dyDescent="0.25">
      <c r="A717" s="55"/>
      <c r="B717" s="21">
        <v>6.8</v>
      </c>
      <c r="C717" s="21" t="s">
        <v>950</v>
      </c>
      <c r="D717" s="21" t="s">
        <v>951</v>
      </c>
      <c r="E717" s="77" t="s">
        <v>952</v>
      </c>
      <c r="F717" s="53"/>
      <c r="G717" s="71" t="s">
        <v>76</v>
      </c>
      <c r="H717" s="21"/>
      <c r="I717" s="26"/>
      <c r="J717" s="26"/>
      <c r="K717" s="26"/>
    </row>
    <row r="718" spans="1:11" ht="15.75" x14ac:dyDescent="0.25">
      <c r="A718" s="55"/>
      <c r="B718" s="21">
        <v>6.8</v>
      </c>
      <c r="C718" s="21" t="s">
        <v>950</v>
      </c>
      <c r="D718" s="21" t="s">
        <v>951</v>
      </c>
      <c r="E718" s="77" t="s">
        <v>953</v>
      </c>
      <c r="F718" s="53"/>
      <c r="G718" s="71" t="s">
        <v>76</v>
      </c>
      <c r="H718" s="21"/>
      <c r="I718" s="26"/>
      <c r="J718" s="26"/>
      <c r="K718" s="26"/>
    </row>
    <row r="719" spans="1:11" ht="15.75" x14ac:dyDescent="0.25">
      <c r="A719" s="55"/>
      <c r="B719" s="21">
        <v>6.8</v>
      </c>
      <c r="C719" s="21" t="s">
        <v>950</v>
      </c>
      <c r="D719" s="21" t="s">
        <v>951</v>
      </c>
      <c r="E719" s="77" t="s">
        <v>954</v>
      </c>
      <c r="F719" s="53"/>
      <c r="G719" s="71" t="s">
        <v>76</v>
      </c>
      <c r="H719" s="21"/>
      <c r="I719" s="26"/>
      <c r="J719" s="26"/>
      <c r="K719" s="26"/>
    </row>
    <row r="720" spans="1:11" ht="15.75" x14ac:dyDescent="0.25">
      <c r="A720" s="55"/>
      <c r="B720" s="21">
        <v>6.8</v>
      </c>
      <c r="C720" s="21" t="s">
        <v>950</v>
      </c>
      <c r="D720" s="21" t="s">
        <v>951</v>
      </c>
      <c r="E720" s="77" t="s">
        <v>955</v>
      </c>
      <c r="F720" s="53"/>
      <c r="G720" s="71" t="s">
        <v>76</v>
      </c>
      <c r="H720" s="21"/>
      <c r="I720" s="26"/>
      <c r="J720" s="26"/>
      <c r="K720" s="26"/>
    </row>
    <row r="721" spans="1:11" ht="135" x14ac:dyDescent="0.25">
      <c r="A721" s="55"/>
      <c r="B721" s="21">
        <v>6.8</v>
      </c>
      <c r="C721" s="21" t="s">
        <v>950</v>
      </c>
      <c r="D721" s="35" t="s">
        <v>956</v>
      </c>
      <c r="E721" s="71" t="s">
        <v>957</v>
      </c>
      <c r="F721" s="21" t="s">
        <v>166</v>
      </c>
      <c r="G721" s="71" t="s">
        <v>76</v>
      </c>
      <c r="H721" s="21"/>
      <c r="I721" s="26"/>
      <c r="J721" s="26"/>
      <c r="K721" s="26"/>
    </row>
    <row r="722" spans="1:11" ht="409.5" x14ac:dyDescent="0.25">
      <c r="A722" s="55"/>
      <c r="B722" s="21">
        <v>6.8</v>
      </c>
      <c r="C722" s="21" t="s">
        <v>950</v>
      </c>
      <c r="D722" s="35" t="s">
        <v>958</v>
      </c>
      <c r="E722" s="71" t="s">
        <v>959</v>
      </c>
      <c r="F722" s="26" t="s">
        <v>854</v>
      </c>
      <c r="G722" s="57" t="s">
        <v>76</v>
      </c>
      <c r="H722" s="21"/>
      <c r="I722" s="26"/>
      <c r="J722" s="26"/>
      <c r="K722" s="26"/>
    </row>
    <row r="723" spans="1:11" ht="180" x14ac:dyDescent="0.25">
      <c r="A723" s="55"/>
      <c r="B723" s="21">
        <v>6.8</v>
      </c>
      <c r="C723" s="21" t="s">
        <v>950</v>
      </c>
      <c r="D723" s="35" t="s">
        <v>960</v>
      </c>
      <c r="E723" s="71" t="s">
        <v>961</v>
      </c>
      <c r="F723" s="26" t="s">
        <v>854</v>
      </c>
      <c r="G723" s="57" t="s">
        <v>76</v>
      </c>
      <c r="H723" s="21"/>
      <c r="I723" s="26"/>
      <c r="J723" s="26"/>
      <c r="K723" s="26"/>
    </row>
    <row r="724" spans="1:11" ht="180" x14ac:dyDescent="0.25">
      <c r="A724" s="55"/>
      <c r="B724" s="21">
        <v>6.8</v>
      </c>
      <c r="C724" s="21" t="s">
        <v>950</v>
      </c>
      <c r="D724" s="35" t="s">
        <v>962</v>
      </c>
      <c r="E724" s="77" t="s">
        <v>963</v>
      </c>
      <c r="F724" s="53"/>
      <c r="G724" s="71" t="s">
        <v>76</v>
      </c>
      <c r="H724" s="21"/>
      <c r="I724" s="26"/>
      <c r="J724" s="26"/>
      <c r="K724" s="26"/>
    </row>
    <row r="725" spans="1:11" ht="134.25" x14ac:dyDescent="0.25">
      <c r="A725" s="55"/>
      <c r="B725" s="21">
        <v>6.8</v>
      </c>
      <c r="C725" s="21" t="s">
        <v>950</v>
      </c>
      <c r="D725" s="35" t="s">
        <v>964</v>
      </c>
      <c r="E725" s="77" t="s">
        <v>965</v>
      </c>
      <c r="F725" s="53"/>
      <c r="G725" s="71" t="s">
        <v>76</v>
      </c>
      <c r="H725" s="21"/>
      <c r="I725" s="26"/>
      <c r="J725" s="26"/>
      <c r="K725" s="26"/>
    </row>
    <row r="726" spans="1:11" ht="375" x14ac:dyDescent="0.25">
      <c r="A726" s="55"/>
      <c r="B726" s="21">
        <v>6.8</v>
      </c>
      <c r="C726" s="21" t="s">
        <v>950</v>
      </c>
      <c r="D726" s="35" t="s">
        <v>966</v>
      </c>
      <c r="E726" s="77" t="s">
        <v>967</v>
      </c>
      <c r="F726" s="53"/>
      <c r="G726" s="71" t="s">
        <v>76</v>
      </c>
      <c r="H726" s="21"/>
      <c r="I726" s="26"/>
      <c r="J726" s="26"/>
      <c r="K726" s="26"/>
    </row>
    <row r="727" spans="1:11" ht="75" x14ac:dyDescent="0.25">
      <c r="A727" s="55"/>
      <c r="B727" s="21">
        <v>6.8</v>
      </c>
      <c r="C727" s="21" t="s">
        <v>950</v>
      </c>
      <c r="D727" s="35" t="s">
        <v>934</v>
      </c>
      <c r="E727" s="71" t="s">
        <v>968</v>
      </c>
      <c r="F727" s="26" t="s">
        <v>969</v>
      </c>
      <c r="G727" s="57" t="s">
        <v>19</v>
      </c>
      <c r="H727" s="21"/>
      <c r="I727" s="26"/>
      <c r="J727" s="26"/>
      <c r="K727" s="26"/>
    </row>
    <row r="728" spans="1:11" ht="15.75" x14ac:dyDescent="0.25">
      <c r="A728" s="55"/>
      <c r="B728" s="21" t="s">
        <v>970</v>
      </c>
      <c r="C728" s="21" t="s">
        <v>971</v>
      </c>
      <c r="D728" s="21" t="s">
        <v>972</v>
      </c>
      <c r="E728" s="77" t="s">
        <v>973</v>
      </c>
      <c r="F728" s="53"/>
      <c r="G728" s="71" t="s">
        <v>76</v>
      </c>
      <c r="H728" s="21"/>
      <c r="I728" s="26"/>
      <c r="J728" s="26"/>
      <c r="K728" s="26"/>
    </row>
    <row r="729" spans="1:11" ht="120" x14ac:dyDescent="0.25">
      <c r="A729" s="55"/>
      <c r="B729" s="21" t="s">
        <v>970</v>
      </c>
      <c r="C729" s="21" t="s">
        <v>971</v>
      </c>
      <c r="D729" s="28" t="s">
        <v>974</v>
      </c>
      <c r="E729" s="77" t="s">
        <v>973</v>
      </c>
      <c r="F729" s="53"/>
      <c r="G729" s="71" t="s">
        <v>76</v>
      </c>
      <c r="H729" s="21"/>
      <c r="I729" s="26"/>
      <c r="J729" s="26"/>
      <c r="K729" s="26"/>
    </row>
    <row r="730" spans="1:11" ht="165" x14ac:dyDescent="0.25">
      <c r="A730" s="55"/>
      <c r="B730" s="21" t="s">
        <v>970</v>
      </c>
      <c r="C730" s="21" t="s">
        <v>971</v>
      </c>
      <c r="D730" s="28" t="s">
        <v>975</v>
      </c>
      <c r="E730" s="77" t="s">
        <v>973</v>
      </c>
      <c r="F730" s="53"/>
      <c r="G730" s="71" t="s">
        <v>76</v>
      </c>
      <c r="H730" s="21"/>
      <c r="I730" s="26"/>
      <c r="J730" s="26"/>
      <c r="K730" s="26"/>
    </row>
    <row r="731" spans="1:11" ht="300" x14ac:dyDescent="0.25">
      <c r="A731" s="55"/>
      <c r="B731" s="21" t="s">
        <v>970</v>
      </c>
      <c r="C731" s="21" t="s">
        <v>971</v>
      </c>
      <c r="D731" s="28" t="s">
        <v>976</v>
      </c>
      <c r="E731" s="77" t="s">
        <v>977</v>
      </c>
      <c r="F731" s="53"/>
      <c r="G731" s="71" t="s">
        <v>76</v>
      </c>
      <c r="H731" s="21"/>
      <c r="I731" s="26"/>
      <c r="J731" s="26"/>
      <c r="K731" s="26"/>
    </row>
    <row r="732" spans="1:11" ht="255" x14ac:dyDescent="0.25">
      <c r="A732" s="55"/>
      <c r="B732" s="21" t="s">
        <v>970</v>
      </c>
      <c r="C732" s="21" t="s">
        <v>971</v>
      </c>
      <c r="D732" s="28" t="s">
        <v>978</v>
      </c>
      <c r="E732" s="71" t="s">
        <v>19</v>
      </c>
      <c r="F732" s="21"/>
      <c r="G732" s="71" t="s">
        <v>19</v>
      </c>
      <c r="H732" s="21"/>
      <c r="I732" s="26"/>
      <c r="J732" s="26"/>
      <c r="K732" s="26"/>
    </row>
    <row r="733" spans="1:11" ht="270" x14ac:dyDescent="0.25">
      <c r="A733" s="55"/>
      <c r="B733" s="21" t="s">
        <v>970</v>
      </c>
      <c r="C733" s="21" t="s">
        <v>971</v>
      </c>
      <c r="D733" s="28" t="s">
        <v>979</v>
      </c>
      <c r="E733" s="77" t="s">
        <v>980</v>
      </c>
      <c r="F733" s="53" t="s">
        <v>981</v>
      </c>
      <c r="G733" s="71" t="s">
        <v>39</v>
      </c>
      <c r="H733" s="21"/>
      <c r="I733" s="26"/>
      <c r="J733" s="26"/>
      <c r="K733" s="26"/>
    </row>
    <row r="734" spans="1:11" x14ac:dyDescent="0.25">
      <c r="A734" s="55"/>
      <c r="B734" s="21">
        <v>6.9</v>
      </c>
      <c r="C734" s="21" t="s">
        <v>982</v>
      </c>
      <c r="D734" s="21" t="s">
        <v>983</v>
      </c>
      <c r="E734" s="71" t="s">
        <v>984</v>
      </c>
      <c r="F734" s="21"/>
      <c r="G734" s="71" t="s">
        <v>126</v>
      </c>
      <c r="H734" s="21"/>
      <c r="I734" s="26"/>
      <c r="J734" s="26"/>
      <c r="K734" s="26"/>
    </row>
    <row r="735" spans="1:11" x14ac:dyDescent="0.25">
      <c r="A735" s="55"/>
      <c r="B735" s="21">
        <v>6.9</v>
      </c>
      <c r="C735" s="21" t="s">
        <v>982</v>
      </c>
      <c r="D735" s="21" t="s">
        <v>983</v>
      </c>
      <c r="E735" s="71" t="s">
        <v>985</v>
      </c>
      <c r="F735" s="21" t="s">
        <v>166</v>
      </c>
      <c r="G735" s="71" t="s">
        <v>88</v>
      </c>
      <c r="H735" s="78" t="s">
        <v>986</v>
      </c>
      <c r="I735" s="26"/>
      <c r="J735" s="26"/>
      <c r="K735" s="26"/>
    </row>
    <row r="736" spans="1:11" x14ac:dyDescent="0.25">
      <c r="A736" s="55"/>
      <c r="B736" s="21">
        <v>6.9</v>
      </c>
      <c r="C736" s="21" t="s">
        <v>982</v>
      </c>
      <c r="D736" s="21" t="s">
        <v>987</v>
      </c>
      <c r="E736" s="57" t="s">
        <v>988</v>
      </c>
      <c r="F736" s="21" t="s">
        <v>989</v>
      </c>
      <c r="G736" s="57" t="s">
        <v>76</v>
      </c>
      <c r="H736" s="78">
        <v>187181</v>
      </c>
      <c r="I736" s="26"/>
      <c r="J736" s="26"/>
      <c r="K736" s="26"/>
    </row>
    <row r="737" spans="1:11" ht="409.5" x14ac:dyDescent="0.25">
      <c r="A737" s="55"/>
      <c r="B737" s="21">
        <v>6.9</v>
      </c>
      <c r="C737" s="21" t="s">
        <v>982</v>
      </c>
      <c r="D737" s="28" t="s">
        <v>990</v>
      </c>
      <c r="E737" s="71" t="s">
        <v>991</v>
      </c>
      <c r="F737" s="21" t="s">
        <v>166</v>
      </c>
      <c r="G737" s="71" t="s">
        <v>76</v>
      </c>
      <c r="H737" s="21"/>
      <c r="I737" s="26"/>
      <c r="J737" s="26"/>
      <c r="K737" s="26"/>
    </row>
    <row r="738" spans="1:11" ht="409.5" x14ac:dyDescent="0.25">
      <c r="A738" s="55"/>
      <c r="B738" s="21">
        <v>6.9</v>
      </c>
      <c r="C738" s="21" t="s">
        <v>982</v>
      </c>
      <c r="D738" s="28" t="s">
        <v>990</v>
      </c>
      <c r="E738" s="71" t="s">
        <v>992</v>
      </c>
      <c r="F738" s="21" t="s">
        <v>166</v>
      </c>
      <c r="G738" s="71" t="s">
        <v>76</v>
      </c>
      <c r="H738" s="21"/>
      <c r="I738" s="26"/>
      <c r="J738" s="26"/>
      <c r="K738" s="26"/>
    </row>
    <row r="739" spans="1:11" ht="330.75" x14ac:dyDescent="0.25">
      <c r="A739" s="55"/>
      <c r="B739" s="21">
        <v>6.9</v>
      </c>
      <c r="C739" s="21" t="s">
        <v>982</v>
      </c>
      <c r="D739" s="40" t="s">
        <v>993</v>
      </c>
      <c r="E739" s="71" t="s">
        <v>994</v>
      </c>
      <c r="F739" s="21" t="s">
        <v>989</v>
      </c>
      <c r="G739" s="57" t="s">
        <v>76</v>
      </c>
      <c r="H739" s="21"/>
      <c r="I739" s="26"/>
      <c r="J739" s="26"/>
      <c r="K739" s="26"/>
    </row>
    <row r="740" spans="1:11" ht="409.5" x14ac:dyDescent="0.25">
      <c r="A740" s="55"/>
      <c r="B740" s="21">
        <v>6.9</v>
      </c>
      <c r="C740" s="21" t="s">
        <v>982</v>
      </c>
      <c r="D740" s="36" t="s">
        <v>995</v>
      </c>
      <c r="E740" s="71" t="s">
        <v>996</v>
      </c>
      <c r="F740" s="21" t="s">
        <v>166</v>
      </c>
      <c r="G740" s="71" t="s">
        <v>76</v>
      </c>
      <c r="H740" s="21"/>
      <c r="I740" s="26"/>
      <c r="J740" s="26"/>
      <c r="K740" s="26"/>
    </row>
    <row r="741" spans="1:11" ht="360" x14ac:dyDescent="0.25">
      <c r="A741" s="55"/>
      <c r="B741" s="21">
        <v>6.9</v>
      </c>
      <c r="C741" s="21" t="s">
        <v>982</v>
      </c>
      <c r="D741" s="35" t="s">
        <v>997</v>
      </c>
      <c r="E741" s="71" t="s">
        <v>998</v>
      </c>
      <c r="F741" s="21" t="s">
        <v>166</v>
      </c>
      <c r="G741" s="71" t="s">
        <v>76</v>
      </c>
      <c r="H741" s="21"/>
      <c r="I741" s="26"/>
      <c r="J741" s="26"/>
      <c r="K741" s="26"/>
    </row>
    <row r="742" spans="1:11" ht="409.5" x14ac:dyDescent="0.25">
      <c r="A742" s="55"/>
      <c r="B742" s="21">
        <v>6.9</v>
      </c>
      <c r="C742" s="21" t="s">
        <v>982</v>
      </c>
      <c r="D742" s="35" t="s">
        <v>999</v>
      </c>
      <c r="E742" s="71" t="s">
        <v>1000</v>
      </c>
      <c r="F742" s="21" t="s">
        <v>166</v>
      </c>
      <c r="G742" s="71" t="s">
        <v>76</v>
      </c>
      <c r="H742" s="21"/>
      <c r="I742" s="26"/>
      <c r="J742" s="26"/>
      <c r="K742" s="26"/>
    </row>
    <row r="743" spans="1:11" ht="346.5" x14ac:dyDescent="0.25">
      <c r="A743" s="55"/>
      <c r="B743" s="21">
        <v>6.9</v>
      </c>
      <c r="C743" s="21" t="s">
        <v>982</v>
      </c>
      <c r="D743" s="36" t="s">
        <v>1001</v>
      </c>
      <c r="E743" s="71" t="s">
        <v>1002</v>
      </c>
      <c r="F743" s="21" t="s">
        <v>1003</v>
      </c>
      <c r="G743" s="57" t="s">
        <v>39</v>
      </c>
      <c r="H743" s="79">
        <v>188336</v>
      </c>
      <c r="I743" s="61">
        <v>42744</v>
      </c>
      <c r="J743" s="61">
        <v>42747</v>
      </c>
      <c r="K743" s="26"/>
    </row>
    <row r="744" spans="1:11" ht="330" x14ac:dyDescent="0.25">
      <c r="A744" s="55"/>
      <c r="B744" s="21">
        <v>6.9</v>
      </c>
      <c r="C744" s="21" t="s">
        <v>982</v>
      </c>
      <c r="D744" s="36" t="s">
        <v>1004</v>
      </c>
      <c r="E744" s="71" t="s">
        <v>1005</v>
      </c>
      <c r="F744" s="21" t="s">
        <v>1003</v>
      </c>
      <c r="G744" s="57" t="s">
        <v>76</v>
      </c>
      <c r="H744" s="21"/>
      <c r="I744" s="26"/>
      <c r="J744" s="26"/>
      <c r="K744" s="26"/>
    </row>
    <row r="745" spans="1:11" ht="188.25" x14ac:dyDescent="0.25">
      <c r="A745" s="55"/>
      <c r="B745" s="21">
        <v>6.9</v>
      </c>
      <c r="C745" s="21" t="s">
        <v>982</v>
      </c>
      <c r="D745" s="36" t="s">
        <v>1006</v>
      </c>
      <c r="E745" s="71" t="s">
        <v>1007</v>
      </c>
      <c r="F745" s="21" t="s">
        <v>1003</v>
      </c>
      <c r="G745" s="57" t="s">
        <v>76</v>
      </c>
      <c r="H745" s="78">
        <v>187181</v>
      </c>
      <c r="I745" s="26"/>
      <c r="J745" s="26"/>
      <c r="K745" s="26"/>
    </row>
    <row r="746" spans="1:11" ht="299.25" x14ac:dyDescent="0.25">
      <c r="A746" s="55"/>
      <c r="B746" s="21">
        <v>6.9</v>
      </c>
      <c r="C746" s="21" t="s">
        <v>982</v>
      </c>
      <c r="D746" s="36" t="s">
        <v>1008</v>
      </c>
      <c r="E746" s="71" t="s">
        <v>1009</v>
      </c>
      <c r="F746" s="21" t="s">
        <v>1003</v>
      </c>
      <c r="G746" s="57" t="s">
        <v>76</v>
      </c>
      <c r="H746" s="21"/>
      <c r="I746" s="26"/>
      <c r="J746" s="26"/>
      <c r="K746" s="26"/>
    </row>
    <row r="747" spans="1:11" ht="409.5" x14ac:dyDescent="0.25">
      <c r="A747" s="55"/>
      <c r="B747" s="21">
        <v>6.9</v>
      </c>
      <c r="C747" s="21" t="s">
        <v>982</v>
      </c>
      <c r="D747" s="36" t="s">
        <v>1010</v>
      </c>
      <c r="E747" s="71" t="s">
        <v>1011</v>
      </c>
      <c r="F747" s="21" t="s">
        <v>1003</v>
      </c>
      <c r="G747" s="57" t="s">
        <v>136</v>
      </c>
      <c r="H747" s="79">
        <v>187181</v>
      </c>
      <c r="I747" s="26"/>
      <c r="J747" s="26"/>
      <c r="K747" s="26"/>
    </row>
    <row r="748" spans="1:11" ht="220.5" x14ac:dyDescent="0.25">
      <c r="A748" s="55"/>
      <c r="B748" s="21">
        <v>6.9</v>
      </c>
      <c r="C748" s="21" t="s">
        <v>982</v>
      </c>
      <c r="D748" s="36" t="s">
        <v>1012</v>
      </c>
      <c r="E748" s="71" t="s">
        <v>19</v>
      </c>
      <c r="F748" s="21"/>
      <c r="G748" s="57" t="s">
        <v>19</v>
      </c>
      <c r="H748" s="21"/>
      <c r="I748" s="26"/>
      <c r="J748" s="26"/>
      <c r="K748" s="26"/>
    </row>
    <row r="749" spans="1:11" ht="409.5" x14ac:dyDescent="0.25">
      <c r="A749" s="55"/>
      <c r="B749" s="21">
        <v>6.9</v>
      </c>
      <c r="C749" s="21" t="s">
        <v>982</v>
      </c>
      <c r="D749" s="31" t="s">
        <v>1013</v>
      </c>
      <c r="E749" s="71" t="s">
        <v>1014</v>
      </c>
      <c r="F749" s="21" t="s">
        <v>1003</v>
      </c>
      <c r="G749" s="57" t="s">
        <v>136</v>
      </c>
      <c r="H749" s="79">
        <v>187181</v>
      </c>
      <c r="I749" s="61">
        <v>42747</v>
      </c>
      <c r="J749" s="61">
        <v>42753</v>
      </c>
      <c r="K749" s="26"/>
    </row>
    <row r="750" spans="1:11" ht="270.75" x14ac:dyDescent="0.25">
      <c r="A750" s="55"/>
      <c r="B750" s="21">
        <v>6.9</v>
      </c>
      <c r="C750" s="21" t="s">
        <v>982</v>
      </c>
      <c r="D750" s="36" t="s">
        <v>1015</v>
      </c>
      <c r="E750" s="71" t="s">
        <v>1016</v>
      </c>
      <c r="F750" s="21" t="s">
        <v>166</v>
      </c>
      <c r="G750" s="71" t="s">
        <v>76</v>
      </c>
      <c r="H750" s="79"/>
      <c r="I750" s="26"/>
      <c r="J750" s="26"/>
      <c r="K750" s="26"/>
    </row>
    <row r="751" spans="1:11" ht="330" x14ac:dyDescent="0.25">
      <c r="A751" s="55"/>
      <c r="B751" s="21">
        <v>6.9</v>
      </c>
      <c r="C751" s="21" t="s">
        <v>982</v>
      </c>
      <c r="D751" s="35" t="s">
        <v>1017</v>
      </c>
      <c r="E751" s="71" t="s">
        <v>1018</v>
      </c>
      <c r="F751" s="21" t="s">
        <v>1003</v>
      </c>
      <c r="G751" s="57" t="s">
        <v>126</v>
      </c>
      <c r="H751" s="21"/>
      <c r="I751" s="26"/>
      <c r="J751" s="26"/>
      <c r="K751" s="26"/>
    </row>
    <row r="752" spans="1:11" ht="409.5" x14ac:dyDescent="0.25">
      <c r="A752" s="55"/>
      <c r="B752" s="21" t="s">
        <v>1019</v>
      </c>
      <c r="C752" s="21" t="s">
        <v>1020</v>
      </c>
      <c r="D752" s="28" t="s">
        <v>1021</v>
      </c>
      <c r="E752" s="71" t="s">
        <v>1022</v>
      </c>
      <c r="F752" s="21" t="s">
        <v>166</v>
      </c>
      <c r="G752" s="71" t="s">
        <v>76</v>
      </c>
      <c r="H752" s="21"/>
      <c r="I752" s="26"/>
      <c r="J752" s="26"/>
      <c r="K752" s="26"/>
    </row>
    <row r="753" spans="1:11" ht="409.5" x14ac:dyDescent="0.25">
      <c r="A753" s="55"/>
      <c r="B753" s="21" t="s">
        <v>1019</v>
      </c>
      <c r="C753" s="21" t="s">
        <v>1020</v>
      </c>
      <c r="D753" s="28" t="s">
        <v>1021</v>
      </c>
      <c r="E753" s="71" t="s">
        <v>1023</v>
      </c>
      <c r="F753" s="21" t="s">
        <v>1024</v>
      </c>
      <c r="G753" s="71" t="s">
        <v>39</v>
      </c>
      <c r="H753" s="21"/>
      <c r="I753" s="26"/>
      <c r="J753" s="26"/>
      <c r="K753" s="26"/>
    </row>
    <row r="754" spans="1:11" ht="409.5" x14ac:dyDescent="0.25">
      <c r="A754" s="55"/>
      <c r="B754" s="21" t="s">
        <v>1019</v>
      </c>
      <c r="C754" s="21" t="s">
        <v>1020</v>
      </c>
      <c r="D754" s="28" t="s">
        <v>1021</v>
      </c>
      <c r="E754" s="71" t="s">
        <v>1023</v>
      </c>
      <c r="F754" s="21" t="s">
        <v>1024</v>
      </c>
      <c r="G754" s="71" t="s">
        <v>39</v>
      </c>
      <c r="H754" s="21"/>
      <c r="I754" s="26"/>
      <c r="J754" s="26"/>
      <c r="K754" s="26"/>
    </row>
    <row r="755" spans="1:11" ht="409.5" x14ac:dyDescent="0.25">
      <c r="A755" s="55"/>
      <c r="B755" s="21" t="s">
        <v>1019</v>
      </c>
      <c r="C755" s="21" t="s">
        <v>1020</v>
      </c>
      <c r="D755" s="36" t="s">
        <v>1025</v>
      </c>
      <c r="E755" s="71" t="s">
        <v>1026</v>
      </c>
      <c r="F755" s="21" t="s">
        <v>166</v>
      </c>
      <c r="G755" s="71" t="s">
        <v>76</v>
      </c>
      <c r="H755" s="21"/>
      <c r="I755" s="26"/>
      <c r="J755" s="26"/>
      <c r="K755" s="26"/>
    </row>
    <row r="756" spans="1:11" ht="220.5" x14ac:dyDescent="0.25">
      <c r="A756" s="55"/>
      <c r="B756" s="21" t="s">
        <v>1019</v>
      </c>
      <c r="C756" s="21" t="s">
        <v>1020</v>
      </c>
      <c r="D756" s="36" t="s">
        <v>1027</v>
      </c>
      <c r="E756" s="71" t="s">
        <v>1028</v>
      </c>
      <c r="F756" s="21" t="s">
        <v>435</v>
      </c>
      <c r="G756" s="71" t="s">
        <v>126</v>
      </c>
      <c r="H756" s="21"/>
      <c r="I756" s="26"/>
      <c r="J756" s="26"/>
      <c r="K756" s="26"/>
    </row>
    <row r="757" spans="1:11" ht="204" x14ac:dyDescent="0.25">
      <c r="A757" s="55"/>
      <c r="B757" s="21" t="s">
        <v>1019</v>
      </c>
      <c r="C757" s="21" t="s">
        <v>1020</v>
      </c>
      <c r="D757" s="36" t="s">
        <v>1029</v>
      </c>
      <c r="E757" s="71" t="s">
        <v>1030</v>
      </c>
      <c r="F757" s="21" t="s">
        <v>1031</v>
      </c>
      <c r="G757" s="71" t="s">
        <v>39</v>
      </c>
      <c r="H757" s="21"/>
      <c r="I757" s="26"/>
      <c r="J757" s="26"/>
      <c r="K757" s="26"/>
    </row>
    <row r="758" spans="1:11" ht="409.5" x14ac:dyDescent="0.25">
      <c r="A758" s="55"/>
      <c r="B758" s="21" t="s">
        <v>1019</v>
      </c>
      <c r="C758" s="21" t="s">
        <v>1020</v>
      </c>
      <c r="D758" s="35" t="s">
        <v>1032</v>
      </c>
      <c r="E758" s="71" t="s">
        <v>1023</v>
      </c>
      <c r="F758" s="21" t="s">
        <v>166</v>
      </c>
      <c r="G758" s="71" t="s">
        <v>126</v>
      </c>
      <c r="H758" s="21"/>
      <c r="I758" s="26"/>
      <c r="J758" s="26"/>
      <c r="K758" s="26"/>
    </row>
    <row r="759" spans="1:11" ht="345" x14ac:dyDescent="0.25">
      <c r="A759" s="55"/>
      <c r="B759" s="21" t="s">
        <v>1019</v>
      </c>
      <c r="C759" s="21" t="s">
        <v>1020</v>
      </c>
      <c r="D759" s="35" t="s">
        <v>1033</v>
      </c>
      <c r="E759" s="71" t="s">
        <v>1034</v>
      </c>
      <c r="F759" s="21" t="s">
        <v>166</v>
      </c>
      <c r="G759" s="71" t="s">
        <v>76</v>
      </c>
      <c r="H759" s="21"/>
      <c r="I759" s="26"/>
      <c r="J759" s="26"/>
      <c r="K759" s="26"/>
    </row>
    <row r="760" spans="1:11" ht="409.5" x14ac:dyDescent="0.25">
      <c r="A760" s="55"/>
      <c r="B760" s="21" t="s">
        <v>1019</v>
      </c>
      <c r="C760" s="21" t="s">
        <v>1020</v>
      </c>
      <c r="D760" s="35" t="s">
        <v>1035</v>
      </c>
      <c r="E760" s="71" t="s">
        <v>1036</v>
      </c>
      <c r="F760" s="21" t="s">
        <v>166</v>
      </c>
      <c r="G760" s="71" t="s">
        <v>76</v>
      </c>
      <c r="H760" s="21"/>
      <c r="I760" s="26"/>
      <c r="J760" s="26"/>
      <c r="K760" s="26"/>
    </row>
    <row r="761" spans="1:11" ht="315" x14ac:dyDescent="0.25">
      <c r="A761" s="55"/>
      <c r="B761" s="21" t="s">
        <v>1019</v>
      </c>
      <c r="C761" s="21" t="s">
        <v>1020</v>
      </c>
      <c r="D761" s="33" t="s">
        <v>1037</v>
      </c>
      <c r="E761" s="71" t="s">
        <v>1038</v>
      </c>
      <c r="F761" s="21" t="s">
        <v>166</v>
      </c>
      <c r="G761" s="71" t="s">
        <v>76</v>
      </c>
      <c r="H761" s="21"/>
      <c r="I761" s="26"/>
      <c r="J761" s="26"/>
      <c r="K761" s="26"/>
    </row>
    <row r="762" spans="1:11" ht="409.5" x14ac:dyDescent="0.25">
      <c r="A762" s="55"/>
      <c r="B762" s="21" t="s">
        <v>1019</v>
      </c>
      <c r="C762" s="21" t="s">
        <v>1020</v>
      </c>
      <c r="D762" s="40" t="s">
        <v>1039</v>
      </c>
      <c r="E762" s="71" t="s">
        <v>1040</v>
      </c>
      <c r="F762" s="21" t="s">
        <v>435</v>
      </c>
      <c r="G762" s="71" t="s">
        <v>126</v>
      </c>
      <c r="H762" s="21"/>
      <c r="I762" s="26"/>
      <c r="J762" s="26"/>
      <c r="K762" s="26"/>
    </row>
    <row r="763" spans="1:11" ht="283.5" x14ac:dyDescent="0.25">
      <c r="A763" s="55"/>
      <c r="B763" s="21" t="s">
        <v>1019</v>
      </c>
      <c r="C763" s="21" t="s">
        <v>1020</v>
      </c>
      <c r="D763" s="40" t="s">
        <v>1041</v>
      </c>
      <c r="E763" s="71" t="s">
        <v>1042</v>
      </c>
      <c r="F763" s="21" t="s">
        <v>166</v>
      </c>
      <c r="G763" s="71" t="s">
        <v>76</v>
      </c>
      <c r="H763" s="21"/>
      <c r="I763" s="26"/>
      <c r="J763" s="26"/>
      <c r="K763" s="26"/>
    </row>
    <row r="764" spans="1:11" ht="283.5" x14ac:dyDescent="0.25">
      <c r="A764" s="55"/>
      <c r="B764" s="21" t="s">
        <v>1019</v>
      </c>
      <c r="C764" s="21" t="s">
        <v>1020</v>
      </c>
      <c r="D764" s="40" t="s">
        <v>1041</v>
      </c>
      <c r="E764" s="71" t="s">
        <v>1043</v>
      </c>
      <c r="F764" s="21" t="s">
        <v>1024</v>
      </c>
      <c r="G764" s="71" t="s">
        <v>39</v>
      </c>
      <c r="H764" s="21"/>
      <c r="I764" s="26"/>
      <c r="J764" s="26"/>
      <c r="K764" s="26"/>
    </row>
    <row r="765" spans="1:11" ht="330" x14ac:dyDescent="0.25">
      <c r="A765" s="55"/>
      <c r="B765" s="21">
        <v>6.16</v>
      </c>
      <c r="C765" s="21" t="s">
        <v>1044</v>
      </c>
      <c r="D765" s="35" t="s">
        <v>1045</v>
      </c>
      <c r="E765" s="71" t="s">
        <v>1046</v>
      </c>
      <c r="F765" s="21" t="s">
        <v>166</v>
      </c>
      <c r="G765" s="57" t="s">
        <v>76</v>
      </c>
      <c r="H765" s="21"/>
      <c r="I765" s="26"/>
      <c r="J765" s="26"/>
      <c r="K765" s="26"/>
    </row>
    <row r="766" spans="1:11" ht="330" x14ac:dyDescent="0.25">
      <c r="A766" s="55"/>
      <c r="B766" s="21">
        <v>6.16</v>
      </c>
      <c r="C766" s="21" t="s">
        <v>1044</v>
      </c>
      <c r="D766" s="35" t="s">
        <v>1045</v>
      </c>
      <c r="E766" s="71" t="s">
        <v>1047</v>
      </c>
      <c r="F766" s="21" t="s">
        <v>166</v>
      </c>
      <c r="G766" s="57" t="s">
        <v>76</v>
      </c>
      <c r="H766" s="21"/>
      <c r="I766" s="26"/>
      <c r="J766" s="26"/>
      <c r="K766" s="26"/>
    </row>
    <row r="767" spans="1:11" ht="330" x14ac:dyDescent="0.25">
      <c r="A767" s="55"/>
      <c r="B767" s="21">
        <v>6.16</v>
      </c>
      <c r="C767" s="21" t="s">
        <v>1044</v>
      </c>
      <c r="D767" s="35" t="s">
        <v>1045</v>
      </c>
      <c r="E767" s="71" t="s">
        <v>1048</v>
      </c>
      <c r="F767" s="21" t="s">
        <v>166</v>
      </c>
      <c r="G767" s="57" t="s">
        <v>126</v>
      </c>
      <c r="H767" s="21"/>
      <c r="I767" s="26"/>
      <c r="J767" s="26"/>
      <c r="K767" s="26"/>
    </row>
    <row r="768" spans="1:11" ht="409.5" x14ac:dyDescent="0.25">
      <c r="A768" s="55"/>
      <c r="B768" s="21">
        <v>6.16</v>
      </c>
      <c r="C768" s="21" t="s">
        <v>1044</v>
      </c>
      <c r="D768" s="36" t="s">
        <v>1049</v>
      </c>
      <c r="E768" s="71" t="s">
        <v>1050</v>
      </c>
      <c r="F768" s="21" t="s">
        <v>166</v>
      </c>
      <c r="G768" s="57" t="s">
        <v>76</v>
      </c>
      <c r="H768" s="21"/>
      <c r="I768" s="26"/>
      <c r="J768" s="26"/>
      <c r="K768" s="26"/>
    </row>
    <row r="769" spans="1:11" ht="252" x14ac:dyDescent="0.25">
      <c r="A769" s="55"/>
      <c r="B769" s="21">
        <v>6.16</v>
      </c>
      <c r="C769" s="21" t="s">
        <v>1044</v>
      </c>
      <c r="D769" s="36" t="s">
        <v>1051</v>
      </c>
      <c r="E769" s="71" t="s">
        <v>1052</v>
      </c>
      <c r="F769" s="21" t="s">
        <v>166</v>
      </c>
      <c r="G769" s="57" t="s">
        <v>76</v>
      </c>
      <c r="H769" s="21"/>
      <c r="I769" s="26"/>
      <c r="J769" s="26"/>
      <c r="K769" s="26"/>
    </row>
    <row r="770" spans="1:11" ht="409.5" x14ac:dyDescent="0.25">
      <c r="A770" s="55"/>
      <c r="B770" s="21">
        <v>6.17</v>
      </c>
      <c r="C770" s="21" t="s">
        <v>1053</v>
      </c>
      <c r="D770" s="28" t="s">
        <v>1054</v>
      </c>
      <c r="E770" s="71" t="s">
        <v>103</v>
      </c>
      <c r="F770" s="21"/>
      <c r="G770" s="71" t="s">
        <v>103</v>
      </c>
      <c r="H770" s="21"/>
      <c r="I770" s="26"/>
      <c r="J770" s="26"/>
      <c r="K770" s="26"/>
    </row>
    <row r="771" spans="1:11" ht="409.5" x14ac:dyDescent="0.25">
      <c r="A771" s="55"/>
      <c r="B771" s="21">
        <v>6.17</v>
      </c>
      <c r="C771" s="21" t="s">
        <v>1053</v>
      </c>
      <c r="D771" s="28" t="s">
        <v>1055</v>
      </c>
      <c r="E771" s="57" t="s">
        <v>103</v>
      </c>
      <c r="F771" s="21"/>
      <c r="G771" s="71" t="s">
        <v>103</v>
      </c>
      <c r="H771" s="21"/>
      <c r="I771" s="26"/>
      <c r="J771" s="26"/>
      <c r="K771" s="26"/>
    </row>
    <row r="772" spans="1:11" x14ac:dyDescent="0.25">
      <c r="A772" s="55"/>
      <c r="B772" s="21">
        <v>6.17</v>
      </c>
      <c r="C772" s="21" t="s">
        <v>1053</v>
      </c>
      <c r="D772" s="26" t="s">
        <v>1056</v>
      </c>
      <c r="E772" s="57" t="s">
        <v>103</v>
      </c>
      <c r="F772" s="21"/>
      <c r="G772" s="71" t="s">
        <v>103</v>
      </c>
      <c r="H772" s="21"/>
      <c r="I772" s="26"/>
      <c r="J772" s="26"/>
      <c r="K772" s="26"/>
    </row>
    <row r="773" spans="1:11" ht="149.25" x14ac:dyDescent="0.25">
      <c r="A773" s="55"/>
      <c r="B773" s="21">
        <v>6.18</v>
      </c>
      <c r="C773" s="21" t="s">
        <v>1057</v>
      </c>
      <c r="D773" s="35" t="s">
        <v>1058</v>
      </c>
      <c r="E773" s="64" t="s">
        <v>1059</v>
      </c>
      <c r="F773" s="21" t="s">
        <v>166</v>
      </c>
      <c r="G773" s="71" t="s">
        <v>76</v>
      </c>
      <c r="H773" s="63">
        <v>185763</v>
      </c>
      <c r="I773" s="61">
        <v>42747</v>
      </c>
      <c r="J773" s="61">
        <v>42753</v>
      </c>
      <c r="K773" s="26"/>
    </row>
    <row r="774" spans="1:11" ht="314.25" x14ac:dyDescent="0.25">
      <c r="A774" s="55"/>
      <c r="B774" s="21">
        <v>6.18</v>
      </c>
      <c r="C774" s="21" t="s">
        <v>1057</v>
      </c>
      <c r="D774" s="35" t="s">
        <v>1060</v>
      </c>
      <c r="E774" s="64" t="s">
        <v>1061</v>
      </c>
      <c r="F774" s="21" t="s">
        <v>166</v>
      </c>
      <c r="G774" s="71" t="s">
        <v>76</v>
      </c>
      <c r="H774" s="23">
        <v>185824</v>
      </c>
      <c r="I774" s="26"/>
      <c r="J774" s="26"/>
      <c r="K774" s="26"/>
    </row>
    <row r="775" spans="1:11" ht="314.25" x14ac:dyDescent="0.25">
      <c r="A775" s="55"/>
      <c r="B775" s="21">
        <v>6.18</v>
      </c>
      <c r="C775" s="21" t="s">
        <v>1057</v>
      </c>
      <c r="D775" s="35" t="s">
        <v>1060</v>
      </c>
      <c r="E775" s="64" t="s">
        <v>1062</v>
      </c>
      <c r="F775" s="21" t="s">
        <v>166</v>
      </c>
      <c r="G775" s="71" t="s">
        <v>76</v>
      </c>
      <c r="H775" s="21"/>
      <c r="I775" s="26"/>
      <c r="J775" s="26"/>
      <c r="K775" s="26"/>
    </row>
    <row r="776" spans="1:11" ht="409.5" x14ac:dyDescent="0.25">
      <c r="A776" s="55"/>
      <c r="B776" s="21">
        <v>6.18</v>
      </c>
      <c r="C776" s="21" t="s">
        <v>1057</v>
      </c>
      <c r="D776" s="36" t="s">
        <v>1063</v>
      </c>
      <c r="E776" s="64" t="s">
        <v>1064</v>
      </c>
      <c r="F776" s="21" t="s">
        <v>166</v>
      </c>
      <c r="G776" s="71" t="s">
        <v>76</v>
      </c>
      <c r="H776" s="21"/>
      <c r="I776" s="26"/>
      <c r="J776" s="26"/>
      <c r="K776" s="26"/>
    </row>
    <row r="777" spans="1:11" ht="409.5" x14ac:dyDescent="0.25">
      <c r="A777" s="55"/>
      <c r="B777" s="21">
        <v>6.18</v>
      </c>
      <c r="C777" s="21" t="s">
        <v>1057</v>
      </c>
      <c r="D777" s="36" t="s">
        <v>1065</v>
      </c>
      <c r="E777" s="64" t="s">
        <v>1066</v>
      </c>
      <c r="F777" s="21" t="s">
        <v>166</v>
      </c>
      <c r="G777" s="71" t="s">
        <v>76</v>
      </c>
      <c r="H777" s="23">
        <v>185817</v>
      </c>
      <c r="I777" s="26"/>
      <c r="J777" s="26"/>
      <c r="K777" s="26"/>
    </row>
    <row r="778" spans="1:11" ht="409.5" x14ac:dyDescent="0.25">
      <c r="A778" s="55"/>
      <c r="B778" s="21">
        <v>6.18</v>
      </c>
      <c r="C778" s="21" t="s">
        <v>1057</v>
      </c>
      <c r="D778" s="36" t="s">
        <v>1065</v>
      </c>
      <c r="E778" s="64" t="s">
        <v>1067</v>
      </c>
      <c r="F778" s="21" t="s">
        <v>166</v>
      </c>
      <c r="G778" s="71" t="s">
        <v>88</v>
      </c>
      <c r="H778" s="80" t="s">
        <v>1068</v>
      </c>
      <c r="I778" s="61">
        <v>42747</v>
      </c>
      <c r="J778" s="61">
        <v>42753</v>
      </c>
      <c r="K778" s="26"/>
    </row>
    <row r="779" spans="1:11" ht="409.5" x14ac:dyDescent="0.25">
      <c r="A779" s="55"/>
      <c r="B779" s="21">
        <v>6.18</v>
      </c>
      <c r="C779" s="21" t="s">
        <v>1057</v>
      </c>
      <c r="D779" s="36" t="s">
        <v>1065</v>
      </c>
      <c r="E779" s="64" t="s">
        <v>1069</v>
      </c>
      <c r="F779" s="21" t="s">
        <v>166</v>
      </c>
      <c r="G779" s="71" t="s">
        <v>88</v>
      </c>
      <c r="H779" s="63" t="s">
        <v>1070</v>
      </c>
      <c r="I779" s="61">
        <v>42747</v>
      </c>
      <c r="J779" s="61">
        <v>42753</v>
      </c>
      <c r="K779" s="26"/>
    </row>
    <row r="780" spans="1:11" ht="409.5" x14ac:dyDescent="0.25">
      <c r="A780" s="55"/>
      <c r="B780" s="21">
        <v>6.18</v>
      </c>
      <c r="C780" s="21" t="s">
        <v>1057</v>
      </c>
      <c r="D780" s="36" t="s">
        <v>1071</v>
      </c>
      <c r="E780" s="64" t="s">
        <v>1072</v>
      </c>
      <c r="F780" s="21" t="s">
        <v>166</v>
      </c>
      <c r="G780" s="71" t="s">
        <v>76</v>
      </c>
      <c r="H780" s="21"/>
      <c r="I780" s="26"/>
      <c r="J780" s="26"/>
      <c r="K780" s="26"/>
    </row>
    <row r="781" spans="1:11" ht="409.5" x14ac:dyDescent="0.25">
      <c r="A781" s="55"/>
      <c r="B781" s="21">
        <v>6.18</v>
      </c>
      <c r="C781" s="21" t="s">
        <v>1057</v>
      </c>
      <c r="D781" s="36" t="s">
        <v>1073</v>
      </c>
      <c r="E781" s="71" t="s">
        <v>1074</v>
      </c>
      <c r="F781" s="21" t="s">
        <v>166</v>
      </c>
      <c r="G781" s="71" t="s">
        <v>76</v>
      </c>
      <c r="H781" s="21"/>
      <c r="I781" s="26"/>
      <c r="J781" s="26"/>
      <c r="K781" s="26"/>
    </row>
    <row r="782" spans="1:11" ht="188.25" x14ac:dyDescent="0.25">
      <c r="A782" s="55"/>
      <c r="B782" s="21">
        <v>6.18</v>
      </c>
      <c r="C782" s="21" t="s">
        <v>1057</v>
      </c>
      <c r="D782" s="36" t="s">
        <v>1075</v>
      </c>
      <c r="E782" s="71" t="s">
        <v>1076</v>
      </c>
      <c r="F782" s="21" t="s">
        <v>166</v>
      </c>
      <c r="G782" s="71" t="s">
        <v>76</v>
      </c>
      <c r="H782" s="21"/>
      <c r="I782" s="26"/>
      <c r="J782" s="26"/>
      <c r="K782" s="26"/>
    </row>
    <row r="783" spans="1:11" ht="267" x14ac:dyDescent="0.25">
      <c r="A783" s="55"/>
      <c r="B783" s="21">
        <v>6.18</v>
      </c>
      <c r="C783" s="21" t="s">
        <v>1057</v>
      </c>
      <c r="D783" s="36" t="s">
        <v>1077</v>
      </c>
      <c r="E783" s="64" t="s">
        <v>1078</v>
      </c>
      <c r="F783" s="21" t="s">
        <v>166</v>
      </c>
      <c r="G783" s="71" t="s">
        <v>76</v>
      </c>
      <c r="H783" s="81">
        <v>186246</v>
      </c>
      <c r="I783" s="26"/>
      <c r="J783" s="26"/>
      <c r="K783" s="26"/>
    </row>
    <row r="784" spans="1:11" ht="267" x14ac:dyDescent="0.25">
      <c r="A784" s="55"/>
      <c r="B784" s="21">
        <v>6.18</v>
      </c>
      <c r="C784" s="21" t="s">
        <v>1057</v>
      </c>
      <c r="D784" s="36" t="s">
        <v>1077</v>
      </c>
      <c r="E784" s="64" t="s">
        <v>1079</v>
      </c>
      <c r="F784" s="21" t="s">
        <v>166</v>
      </c>
      <c r="G784" s="71" t="s">
        <v>76</v>
      </c>
      <c r="H784" s="81">
        <v>186246</v>
      </c>
      <c r="I784" s="26"/>
      <c r="J784" s="26"/>
      <c r="K784" s="26"/>
    </row>
    <row r="785" spans="1:11" ht="126" x14ac:dyDescent="0.25">
      <c r="A785" s="55"/>
      <c r="B785" s="21">
        <v>6.18</v>
      </c>
      <c r="C785" s="21" t="s">
        <v>1057</v>
      </c>
      <c r="D785" s="36" t="s">
        <v>1080</v>
      </c>
      <c r="E785" s="71" t="s">
        <v>1081</v>
      </c>
      <c r="F785" s="21" t="s">
        <v>166</v>
      </c>
      <c r="G785" s="71" t="s">
        <v>76</v>
      </c>
      <c r="H785" s="21"/>
      <c r="I785" s="26"/>
      <c r="J785" s="26"/>
      <c r="K785" s="26"/>
    </row>
    <row r="786" spans="1:11" ht="141" x14ac:dyDescent="0.25">
      <c r="A786" s="55"/>
      <c r="B786" s="21">
        <v>6.18</v>
      </c>
      <c r="C786" s="21" t="s">
        <v>1057</v>
      </c>
      <c r="D786" s="36" t="s">
        <v>1082</v>
      </c>
      <c r="E786" s="71" t="s">
        <v>1083</v>
      </c>
      <c r="F786" s="21" t="s">
        <v>166</v>
      </c>
      <c r="G786" s="71" t="s">
        <v>76</v>
      </c>
      <c r="H786" s="21"/>
      <c r="I786" s="26"/>
      <c r="J786" s="26"/>
      <c r="K786" s="26"/>
    </row>
    <row r="787" spans="1:11" ht="188.25" x14ac:dyDescent="0.25">
      <c r="A787" s="55"/>
      <c r="B787" s="21">
        <v>6.18</v>
      </c>
      <c r="C787" s="21" t="s">
        <v>1057</v>
      </c>
      <c r="D787" s="36" t="s">
        <v>1084</v>
      </c>
      <c r="E787" s="71" t="s">
        <v>1085</v>
      </c>
      <c r="F787" s="21" t="s">
        <v>166</v>
      </c>
      <c r="G787" s="71" t="s">
        <v>76</v>
      </c>
      <c r="H787" s="21"/>
      <c r="I787" s="26"/>
      <c r="J787" s="26"/>
      <c r="K787" s="26"/>
    </row>
    <row r="788" spans="1:11" ht="362.25" x14ac:dyDescent="0.25">
      <c r="A788" s="55"/>
      <c r="B788" s="21">
        <v>6.18</v>
      </c>
      <c r="C788" s="21" t="s">
        <v>1057</v>
      </c>
      <c r="D788" s="36" t="s">
        <v>1086</v>
      </c>
      <c r="E788" s="71" t="s">
        <v>1087</v>
      </c>
      <c r="F788" s="21" t="s">
        <v>166</v>
      </c>
      <c r="G788" s="71" t="s">
        <v>126</v>
      </c>
      <c r="H788" s="21"/>
      <c r="I788" s="26"/>
      <c r="J788" s="26"/>
      <c r="K788" s="26"/>
    </row>
    <row r="789" spans="1:11" ht="362.25" x14ac:dyDescent="0.25">
      <c r="A789" s="55"/>
      <c r="B789" s="21">
        <v>6.18</v>
      </c>
      <c r="C789" s="21" t="s">
        <v>1057</v>
      </c>
      <c r="D789" s="36" t="s">
        <v>1086</v>
      </c>
      <c r="E789" s="71" t="s">
        <v>1088</v>
      </c>
      <c r="F789" s="21" t="s">
        <v>166</v>
      </c>
      <c r="G789" s="71" t="s">
        <v>126</v>
      </c>
      <c r="H789" s="21"/>
      <c r="I789" s="26"/>
      <c r="J789" s="26"/>
      <c r="K789" s="26"/>
    </row>
    <row r="790" spans="1:11" ht="409.5" x14ac:dyDescent="0.25">
      <c r="A790" s="55"/>
      <c r="B790" s="21">
        <v>6.18</v>
      </c>
      <c r="C790" s="21" t="s">
        <v>1057</v>
      </c>
      <c r="D790" s="36" t="s">
        <v>1089</v>
      </c>
      <c r="E790" s="64" t="s">
        <v>1090</v>
      </c>
      <c r="F790" s="21" t="s">
        <v>166</v>
      </c>
      <c r="G790" s="71" t="s">
        <v>39</v>
      </c>
      <c r="H790" s="21"/>
      <c r="I790" s="26"/>
      <c r="J790" s="26"/>
      <c r="K790" s="26"/>
    </row>
    <row r="791" spans="1:11" ht="173.25" x14ac:dyDescent="0.25">
      <c r="A791" s="55"/>
      <c r="B791" s="21">
        <v>6.19</v>
      </c>
      <c r="C791" s="21" t="s">
        <v>1091</v>
      </c>
      <c r="D791" s="41" t="s">
        <v>1092</v>
      </c>
      <c r="E791" s="71" t="s">
        <v>19</v>
      </c>
      <c r="F791" s="21"/>
      <c r="G791" s="71" t="s">
        <v>19</v>
      </c>
      <c r="H791" s="21"/>
      <c r="I791" s="26"/>
      <c r="J791" s="26"/>
      <c r="K791" s="26"/>
    </row>
    <row r="792" spans="1:11" ht="409.5" x14ac:dyDescent="0.25">
      <c r="A792" s="55"/>
      <c r="B792" s="21" t="s">
        <v>1093</v>
      </c>
      <c r="C792" s="21" t="s">
        <v>1094</v>
      </c>
      <c r="D792" s="40" t="s">
        <v>1095</v>
      </c>
      <c r="E792" s="57" t="s">
        <v>739</v>
      </c>
      <c r="F792" s="47"/>
      <c r="G792" s="71" t="s">
        <v>76</v>
      </c>
      <c r="H792" s="21"/>
      <c r="I792" s="26"/>
      <c r="J792" s="26"/>
      <c r="K792" s="26"/>
    </row>
    <row r="793" spans="1:11" ht="409.5" x14ac:dyDescent="0.25">
      <c r="A793" s="55"/>
      <c r="B793" s="21" t="s">
        <v>1093</v>
      </c>
      <c r="C793" s="21" t="s">
        <v>1094</v>
      </c>
      <c r="D793" s="40" t="s">
        <v>1095</v>
      </c>
      <c r="E793" s="57" t="s">
        <v>1096</v>
      </c>
      <c r="F793" s="47"/>
      <c r="G793" s="71" t="s">
        <v>76</v>
      </c>
      <c r="H793" s="21"/>
      <c r="I793" s="26"/>
      <c r="J793" s="26"/>
      <c r="K793" s="26"/>
    </row>
    <row r="794" spans="1:11" ht="409.5" x14ac:dyDescent="0.25">
      <c r="A794" s="55"/>
      <c r="B794" s="21">
        <v>6.21</v>
      </c>
      <c r="C794" s="21" t="s">
        <v>1097</v>
      </c>
      <c r="D794" s="40" t="s">
        <v>1098</v>
      </c>
      <c r="E794" s="71" t="s">
        <v>1099</v>
      </c>
      <c r="F794" s="21"/>
      <c r="G794" s="71" t="s">
        <v>76</v>
      </c>
      <c r="H794" s="21"/>
      <c r="I794" s="26"/>
      <c r="J794" s="26"/>
      <c r="K794" s="26"/>
    </row>
    <row r="795" spans="1:11" ht="409.5" x14ac:dyDescent="0.25">
      <c r="A795" s="55"/>
      <c r="B795" s="21">
        <v>6.21</v>
      </c>
      <c r="C795" s="21" t="s">
        <v>1097</v>
      </c>
      <c r="D795" s="40" t="s">
        <v>1098</v>
      </c>
      <c r="E795" s="71" t="s">
        <v>1100</v>
      </c>
      <c r="F795" s="21"/>
      <c r="G795" s="71" t="s">
        <v>76</v>
      </c>
      <c r="H795" s="21"/>
      <c r="I795" s="26"/>
      <c r="J795" s="26"/>
      <c r="K795" s="26"/>
    </row>
    <row r="796" spans="1:11" ht="210" x14ac:dyDescent="0.25">
      <c r="A796" s="55"/>
      <c r="B796" s="21">
        <v>6.21</v>
      </c>
      <c r="C796" s="21" t="s">
        <v>1097</v>
      </c>
      <c r="D796" s="28" t="s">
        <v>1101</v>
      </c>
      <c r="E796" s="71" t="s">
        <v>1102</v>
      </c>
      <c r="F796" s="21"/>
      <c r="G796" s="71" t="s">
        <v>76</v>
      </c>
      <c r="H796" s="21"/>
      <c r="I796" s="26"/>
      <c r="J796" s="26"/>
      <c r="K796" s="26"/>
    </row>
    <row r="797" spans="1:11" ht="180" x14ac:dyDescent="0.25">
      <c r="A797" s="55"/>
      <c r="B797" s="21">
        <v>6.21</v>
      </c>
      <c r="C797" s="21" t="s">
        <v>1097</v>
      </c>
      <c r="D797" s="28" t="s">
        <v>1103</v>
      </c>
      <c r="E797" s="71" t="s">
        <v>1104</v>
      </c>
      <c r="F797" s="21"/>
      <c r="G797" s="71" t="s">
        <v>76</v>
      </c>
      <c r="H797" s="69">
        <v>187007</v>
      </c>
      <c r="I797" s="26"/>
      <c r="J797" s="26"/>
      <c r="K797" s="26"/>
    </row>
    <row r="798" spans="1:11" ht="105" x14ac:dyDescent="0.25">
      <c r="A798" s="55"/>
      <c r="B798" s="21">
        <v>6.21</v>
      </c>
      <c r="C798" s="21" t="s">
        <v>1097</v>
      </c>
      <c r="D798" s="28" t="s">
        <v>1105</v>
      </c>
      <c r="E798" s="71" t="s">
        <v>1106</v>
      </c>
      <c r="F798" s="21"/>
      <c r="G798" s="71" t="s">
        <v>76</v>
      </c>
      <c r="H798" s="21"/>
      <c r="I798" s="26"/>
      <c r="J798" s="26"/>
      <c r="K798" s="26"/>
    </row>
    <row r="799" spans="1:11" ht="270" x14ac:dyDescent="0.25">
      <c r="A799" s="55"/>
      <c r="B799" s="21">
        <v>6.21</v>
      </c>
      <c r="C799" s="21" t="s">
        <v>1097</v>
      </c>
      <c r="D799" s="28" t="s">
        <v>1107</v>
      </c>
      <c r="E799" s="71" t="s">
        <v>1108</v>
      </c>
      <c r="F799" s="21"/>
      <c r="G799" s="71" t="s">
        <v>76</v>
      </c>
      <c r="H799" s="21"/>
      <c r="I799" s="26"/>
      <c r="J799" s="26"/>
      <c r="K799" s="26"/>
    </row>
    <row r="800" spans="1:11" ht="165" x14ac:dyDescent="0.25">
      <c r="A800" s="55"/>
      <c r="B800" s="21">
        <v>6.21</v>
      </c>
      <c r="C800" s="21" t="s">
        <v>1097</v>
      </c>
      <c r="D800" s="28" t="s">
        <v>1109</v>
      </c>
      <c r="E800" s="71" t="s">
        <v>1110</v>
      </c>
      <c r="F800" s="21"/>
      <c r="G800" s="71" t="s">
        <v>76</v>
      </c>
      <c r="H800" s="21"/>
      <c r="I800" s="26"/>
      <c r="J800" s="26"/>
      <c r="K800" s="26"/>
    </row>
    <row r="801" spans="1:11" ht="120" x14ac:dyDescent="0.25">
      <c r="A801" s="55"/>
      <c r="B801" s="21">
        <v>6.21</v>
      </c>
      <c r="C801" s="21" t="s">
        <v>1097</v>
      </c>
      <c r="D801" s="28" t="s">
        <v>1111</v>
      </c>
      <c r="E801" s="71" t="s">
        <v>1100</v>
      </c>
      <c r="F801" s="21"/>
      <c r="G801" s="71" t="s">
        <v>76</v>
      </c>
      <c r="H801" s="21"/>
      <c r="I801" s="26"/>
      <c r="J801" s="26"/>
      <c r="K801" s="26"/>
    </row>
    <row r="802" spans="1:11" ht="390" x14ac:dyDescent="0.25">
      <c r="A802" s="55"/>
      <c r="B802" s="21">
        <v>6.21</v>
      </c>
      <c r="C802" s="21" t="s">
        <v>1097</v>
      </c>
      <c r="D802" s="28" t="s">
        <v>1112</v>
      </c>
      <c r="E802" s="71" t="s">
        <v>1113</v>
      </c>
      <c r="F802" s="21"/>
      <c r="G802" s="71" t="s">
        <v>76</v>
      </c>
      <c r="H802" s="21"/>
      <c r="I802" s="26"/>
      <c r="J802" s="26"/>
      <c r="K802" s="26"/>
    </row>
    <row r="803" spans="1:11" ht="409.5" x14ac:dyDescent="0.25">
      <c r="A803" s="55"/>
      <c r="B803" s="21">
        <v>6.21</v>
      </c>
      <c r="C803" s="21" t="s">
        <v>1097</v>
      </c>
      <c r="D803" s="28" t="s">
        <v>1114</v>
      </c>
      <c r="E803" s="71" t="s">
        <v>1115</v>
      </c>
      <c r="F803" s="21"/>
      <c r="G803" s="71" t="s">
        <v>39</v>
      </c>
      <c r="H803" s="69">
        <v>186835</v>
      </c>
      <c r="I803" s="26"/>
      <c r="J803" s="26"/>
      <c r="K803" s="26"/>
    </row>
    <row r="804" spans="1:11" ht="165" x14ac:dyDescent="0.25">
      <c r="A804" s="55"/>
      <c r="B804" s="21">
        <v>6.21</v>
      </c>
      <c r="C804" s="21" t="s">
        <v>1097</v>
      </c>
      <c r="D804" s="28" t="s">
        <v>1116</v>
      </c>
      <c r="E804" s="71" t="s">
        <v>1117</v>
      </c>
      <c r="F804" s="21"/>
      <c r="G804" s="71" t="s">
        <v>76</v>
      </c>
      <c r="H804" s="21"/>
      <c r="I804" s="26"/>
      <c r="J804" s="26"/>
      <c r="K804" s="26"/>
    </row>
    <row r="805" spans="1:11" ht="315" x14ac:dyDescent="0.25">
      <c r="A805" s="55"/>
      <c r="B805" s="21">
        <v>6.21</v>
      </c>
      <c r="C805" s="21" t="s">
        <v>1097</v>
      </c>
      <c r="D805" s="28" t="s">
        <v>1118</v>
      </c>
      <c r="E805" s="71" t="s">
        <v>1119</v>
      </c>
      <c r="F805" s="21"/>
      <c r="G805" s="71" t="s">
        <v>76</v>
      </c>
      <c r="H805" s="21"/>
      <c r="I805" s="26"/>
      <c r="J805" s="26"/>
      <c r="K805" s="26"/>
    </row>
    <row r="806" spans="1:11" ht="409.5" x14ac:dyDescent="0.25">
      <c r="A806" s="55"/>
      <c r="B806" s="21">
        <v>6.21</v>
      </c>
      <c r="C806" s="21" t="s">
        <v>1097</v>
      </c>
      <c r="D806" s="28" t="s">
        <v>1120</v>
      </c>
      <c r="E806" s="71" t="s">
        <v>1121</v>
      </c>
      <c r="F806" s="21"/>
      <c r="G806" s="71" t="s">
        <v>1122</v>
      </c>
      <c r="H806" s="69">
        <v>187021</v>
      </c>
      <c r="I806" s="26"/>
      <c r="J806" s="26"/>
      <c r="K806" s="26"/>
    </row>
    <row r="807" spans="1:11" ht="345" x14ac:dyDescent="0.25">
      <c r="A807" s="55"/>
      <c r="B807" s="21">
        <v>6.21</v>
      </c>
      <c r="C807" s="21" t="s">
        <v>1097</v>
      </c>
      <c r="D807" s="28" t="s">
        <v>1123</v>
      </c>
      <c r="E807" s="71" t="s">
        <v>1124</v>
      </c>
      <c r="F807" s="21"/>
      <c r="G807" s="71" t="s">
        <v>76</v>
      </c>
      <c r="H807" s="21"/>
      <c r="I807" s="26"/>
      <c r="J807" s="26"/>
      <c r="K807" s="26"/>
    </row>
    <row r="808" spans="1:11" ht="75" x14ac:dyDescent="0.25">
      <c r="A808" s="55"/>
      <c r="B808" s="21">
        <v>6.21</v>
      </c>
      <c r="C808" s="21" t="s">
        <v>1097</v>
      </c>
      <c r="D808" s="28" t="s">
        <v>1125</v>
      </c>
      <c r="E808" s="71" t="s">
        <v>1126</v>
      </c>
      <c r="F808" s="21"/>
      <c r="G808" s="53" t="s">
        <v>76</v>
      </c>
      <c r="H808" s="69" t="s">
        <v>1127</v>
      </c>
      <c r="I808" s="26"/>
      <c r="J808" s="26"/>
      <c r="K808" s="26"/>
    </row>
    <row r="809" spans="1:11" ht="255" x14ac:dyDescent="0.25">
      <c r="A809" s="55"/>
      <c r="B809" s="21">
        <v>6.21</v>
      </c>
      <c r="C809" s="21" t="s">
        <v>1097</v>
      </c>
      <c r="D809" s="28" t="s">
        <v>1128</v>
      </c>
      <c r="E809" s="71" t="s">
        <v>1129</v>
      </c>
      <c r="F809" s="21"/>
      <c r="G809" s="71" t="s">
        <v>76</v>
      </c>
      <c r="H809" s="21"/>
      <c r="I809" s="26"/>
      <c r="J809" s="26"/>
      <c r="K809" s="26"/>
    </row>
    <row r="810" spans="1:11" ht="409.5" x14ac:dyDescent="0.25">
      <c r="A810" s="55"/>
      <c r="B810" s="21">
        <v>6.21</v>
      </c>
      <c r="C810" s="21" t="s">
        <v>1097</v>
      </c>
      <c r="D810" s="42" t="s">
        <v>1130</v>
      </c>
      <c r="E810" s="71" t="s">
        <v>1131</v>
      </c>
      <c r="F810" s="21"/>
      <c r="G810" s="71" t="s">
        <v>126</v>
      </c>
      <c r="H810" s="21"/>
      <c r="I810" s="26"/>
      <c r="J810" s="26"/>
      <c r="K810" s="26"/>
    </row>
    <row r="811" spans="1:11" ht="15.75" x14ac:dyDescent="0.25">
      <c r="A811" s="55"/>
      <c r="B811" s="21" t="s">
        <v>1132</v>
      </c>
      <c r="C811" s="21" t="s">
        <v>1133</v>
      </c>
      <c r="D811" s="21" t="s">
        <v>1134</v>
      </c>
      <c r="E811" s="71" t="s">
        <v>1135</v>
      </c>
      <c r="F811" s="21"/>
      <c r="G811" s="71" t="s">
        <v>76</v>
      </c>
      <c r="H811" s="82">
        <v>187161</v>
      </c>
      <c r="I811" s="26"/>
      <c r="J811" s="26"/>
      <c r="K811" s="26"/>
    </row>
    <row r="812" spans="1:11" x14ac:dyDescent="0.25">
      <c r="A812" s="55"/>
      <c r="B812" s="21" t="s">
        <v>1132</v>
      </c>
      <c r="C812" s="21" t="s">
        <v>1133</v>
      </c>
      <c r="D812" s="21" t="s">
        <v>1134</v>
      </c>
      <c r="E812" s="71" t="s">
        <v>1136</v>
      </c>
      <c r="F812" s="21"/>
      <c r="G812" s="71" t="s">
        <v>76</v>
      </c>
      <c r="H812" s="21"/>
      <c r="I812" s="26"/>
      <c r="J812" s="26"/>
      <c r="K812" s="26"/>
    </row>
    <row r="813" spans="1:11" ht="120" x14ac:dyDescent="0.25">
      <c r="A813" s="55"/>
      <c r="B813" s="21" t="s">
        <v>1132</v>
      </c>
      <c r="C813" s="21" t="s">
        <v>1133</v>
      </c>
      <c r="D813" s="28" t="s">
        <v>1137</v>
      </c>
      <c r="E813" s="71" t="s">
        <v>1138</v>
      </c>
      <c r="F813" s="21"/>
      <c r="G813" s="71" t="s">
        <v>76</v>
      </c>
      <c r="H813" s="21"/>
      <c r="I813" s="26"/>
      <c r="J813" s="26"/>
      <c r="K813" s="26"/>
    </row>
    <row r="814" spans="1:11" ht="285" x14ac:dyDescent="0.25">
      <c r="A814" s="55"/>
      <c r="B814" s="21" t="s">
        <v>1132</v>
      </c>
      <c r="C814" s="21" t="s">
        <v>1133</v>
      </c>
      <c r="D814" s="28" t="s">
        <v>1139</v>
      </c>
      <c r="E814" s="71" t="s">
        <v>1140</v>
      </c>
      <c r="F814" s="21"/>
      <c r="G814" s="71" t="s">
        <v>76</v>
      </c>
      <c r="H814" s="82">
        <v>187161</v>
      </c>
      <c r="I814" s="26"/>
      <c r="J814" s="26"/>
      <c r="K814" s="26"/>
    </row>
    <row r="815" spans="1:11" ht="195" x14ac:dyDescent="0.25">
      <c r="A815" s="55"/>
      <c r="B815" s="21" t="s">
        <v>1132</v>
      </c>
      <c r="C815" s="21" t="s">
        <v>1133</v>
      </c>
      <c r="D815" s="28" t="s">
        <v>1141</v>
      </c>
      <c r="E815" s="71" t="s">
        <v>1142</v>
      </c>
      <c r="F815" s="21"/>
      <c r="G815" s="71" t="s">
        <v>76</v>
      </c>
      <c r="H815" s="82">
        <v>187161</v>
      </c>
      <c r="I815" s="26"/>
      <c r="J815" s="26"/>
      <c r="K815" s="26"/>
    </row>
    <row r="816" spans="1:11" ht="409.5" x14ac:dyDescent="0.25">
      <c r="A816" s="55"/>
      <c r="B816" s="21" t="s">
        <v>1132</v>
      </c>
      <c r="C816" s="21" t="s">
        <v>1133</v>
      </c>
      <c r="D816" s="28" t="s">
        <v>1143</v>
      </c>
      <c r="E816" s="71" t="s">
        <v>1144</v>
      </c>
      <c r="F816" s="21"/>
      <c r="G816" s="71" t="s">
        <v>136</v>
      </c>
      <c r="H816" s="82">
        <v>187161</v>
      </c>
      <c r="I816" s="26"/>
      <c r="J816" s="26"/>
      <c r="K816" s="26"/>
    </row>
    <row r="817" spans="1:11" ht="90" x14ac:dyDescent="0.25">
      <c r="A817" s="55"/>
      <c r="B817" s="21" t="s">
        <v>1132</v>
      </c>
      <c r="C817" s="21" t="s">
        <v>1133</v>
      </c>
      <c r="D817" s="28" t="s">
        <v>1145</v>
      </c>
      <c r="E817" s="71" t="s">
        <v>1146</v>
      </c>
      <c r="F817" s="21"/>
      <c r="G817" s="71" t="s">
        <v>39</v>
      </c>
      <c r="H817" s="21"/>
      <c r="I817" s="26"/>
      <c r="J817" s="26"/>
      <c r="K817" s="26"/>
    </row>
    <row r="818" spans="1:11" ht="165" x14ac:dyDescent="0.25">
      <c r="A818" s="55"/>
      <c r="B818" s="21" t="s">
        <v>1132</v>
      </c>
      <c r="C818" s="21" t="s">
        <v>1133</v>
      </c>
      <c r="D818" s="28" t="s">
        <v>1147</v>
      </c>
      <c r="E818" s="71" t="s">
        <v>1148</v>
      </c>
      <c r="F818" s="21"/>
      <c r="G818" s="71" t="s">
        <v>39</v>
      </c>
      <c r="H818" s="21"/>
      <c r="I818" s="26"/>
      <c r="J818" s="26"/>
      <c r="K818" s="26"/>
    </row>
    <row r="819" spans="1:11" ht="165" x14ac:dyDescent="0.25">
      <c r="A819" s="55"/>
      <c r="B819" s="21" t="s">
        <v>1132</v>
      </c>
      <c r="C819" s="21" t="s">
        <v>1133</v>
      </c>
      <c r="D819" s="28" t="s">
        <v>1149</v>
      </c>
      <c r="E819" s="71" t="s">
        <v>1148</v>
      </c>
      <c r="F819" s="21"/>
      <c r="G819" s="71" t="s">
        <v>39</v>
      </c>
      <c r="H819" s="21"/>
      <c r="I819" s="26"/>
      <c r="J819" s="26"/>
      <c r="K819" s="26"/>
    </row>
    <row r="820" spans="1:11" ht="75" x14ac:dyDescent="0.25">
      <c r="A820" s="55"/>
      <c r="B820" s="21" t="s">
        <v>1132</v>
      </c>
      <c r="C820" s="21" t="s">
        <v>1133</v>
      </c>
      <c r="D820" s="28" t="s">
        <v>1150</v>
      </c>
      <c r="E820" s="71" t="s">
        <v>1151</v>
      </c>
      <c r="F820" s="21"/>
      <c r="G820" s="71" t="s">
        <v>76</v>
      </c>
      <c r="H820" s="21"/>
      <c r="I820" s="26"/>
      <c r="J820" s="26"/>
      <c r="K820" s="26"/>
    </row>
    <row r="821" spans="1:11" ht="120" x14ac:dyDescent="0.25">
      <c r="A821" s="55"/>
      <c r="B821" s="21" t="s">
        <v>1132</v>
      </c>
      <c r="C821" s="21" t="s">
        <v>1133</v>
      </c>
      <c r="D821" s="28" t="s">
        <v>1152</v>
      </c>
      <c r="E821" s="71" t="s">
        <v>1151</v>
      </c>
      <c r="F821" s="21"/>
      <c r="G821" s="71" t="s">
        <v>76</v>
      </c>
      <c r="H821" s="21"/>
      <c r="I821" s="26"/>
      <c r="J821" s="26"/>
      <c r="K821" s="26"/>
    </row>
    <row r="822" spans="1:11" ht="180" x14ac:dyDescent="0.25">
      <c r="A822" s="55"/>
      <c r="B822" s="21" t="s">
        <v>1153</v>
      </c>
      <c r="C822" s="21" t="s">
        <v>1154</v>
      </c>
      <c r="D822" s="28" t="s">
        <v>1155</v>
      </c>
      <c r="E822" s="71" t="s">
        <v>1156</v>
      </c>
      <c r="F822" s="21"/>
      <c r="G822" s="71" t="s">
        <v>76</v>
      </c>
      <c r="H822" s="21"/>
      <c r="I822" s="26"/>
      <c r="J822" s="26"/>
      <c r="K822" s="26"/>
    </row>
    <row r="823" spans="1:11" ht="225" x14ac:dyDescent="0.25">
      <c r="A823" s="55"/>
      <c r="B823" s="21" t="s">
        <v>1153</v>
      </c>
      <c r="C823" s="21" t="s">
        <v>1154</v>
      </c>
      <c r="D823" s="28" t="s">
        <v>1157</v>
      </c>
      <c r="E823" s="71" t="s">
        <v>1158</v>
      </c>
      <c r="F823" s="21"/>
      <c r="G823" s="71" t="s">
        <v>76</v>
      </c>
      <c r="H823" s="21"/>
      <c r="I823" s="26"/>
      <c r="J823" s="26"/>
      <c r="K823" s="26"/>
    </row>
    <row r="824" spans="1:11" x14ac:dyDescent="0.25">
      <c r="A824" s="55"/>
      <c r="B824" s="21" t="s">
        <v>1153</v>
      </c>
      <c r="C824" s="21" t="s">
        <v>1154</v>
      </c>
      <c r="D824" s="26" t="s">
        <v>1159</v>
      </c>
      <c r="E824" s="71" t="s">
        <v>1160</v>
      </c>
      <c r="F824" s="21"/>
      <c r="G824" s="71" t="s">
        <v>76</v>
      </c>
      <c r="H824" s="21"/>
      <c r="I824" s="26"/>
      <c r="J824" s="26"/>
      <c r="K824" s="26"/>
    </row>
    <row r="825" spans="1:11" ht="180" x14ac:dyDescent="0.25">
      <c r="A825" s="55"/>
      <c r="B825" s="21" t="s">
        <v>1161</v>
      </c>
      <c r="C825" s="21" t="s">
        <v>1162</v>
      </c>
      <c r="D825" s="28" t="s">
        <v>1163</v>
      </c>
      <c r="E825" s="71" t="s">
        <v>1164</v>
      </c>
      <c r="F825" s="21"/>
      <c r="G825" s="71" t="s">
        <v>76</v>
      </c>
      <c r="H825" s="69">
        <v>187696</v>
      </c>
      <c r="I825" s="26"/>
      <c r="J825" s="26"/>
      <c r="K825" s="26"/>
    </row>
    <row r="826" spans="1:11" ht="210" x14ac:dyDescent="0.25">
      <c r="A826" s="55"/>
      <c r="B826" s="21" t="s">
        <v>1161</v>
      </c>
      <c r="C826" s="21" t="s">
        <v>1162</v>
      </c>
      <c r="D826" s="28" t="s">
        <v>1165</v>
      </c>
      <c r="E826" s="71" t="s">
        <v>1102</v>
      </c>
      <c r="F826" s="21"/>
      <c r="G826" s="71" t="s">
        <v>76</v>
      </c>
      <c r="H826" s="21"/>
      <c r="I826" s="26"/>
      <c r="J826" s="26"/>
      <c r="K826" s="26"/>
    </row>
    <row r="827" spans="1:11" ht="150" x14ac:dyDescent="0.25">
      <c r="A827" s="55"/>
      <c r="B827" s="21" t="s">
        <v>1161</v>
      </c>
      <c r="C827" s="21" t="s">
        <v>1162</v>
      </c>
      <c r="D827" s="28" t="s">
        <v>1166</v>
      </c>
      <c r="E827" s="71" t="s">
        <v>1167</v>
      </c>
      <c r="F827" s="21"/>
      <c r="G827" s="71" t="s">
        <v>76</v>
      </c>
      <c r="H827" s="69">
        <v>187696</v>
      </c>
      <c r="I827" s="26"/>
      <c r="J827" s="26"/>
      <c r="K827" s="26"/>
    </row>
    <row r="828" spans="1:11" ht="150" x14ac:dyDescent="0.25">
      <c r="A828" s="55"/>
      <c r="B828" s="21" t="s">
        <v>1161</v>
      </c>
      <c r="C828" s="21" t="s">
        <v>1162</v>
      </c>
      <c r="D828" s="28" t="s">
        <v>1168</v>
      </c>
      <c r="E828" s="71" t="s">
        <v>1167</v>
      </c>
      <c r="F828" s="21"/>
      <c r="G828" s="71" t="s">
        <v>76</v>
      </c>
      <c r="H828" s="69">
        <v>187696</v>
      </c>
      <c r="I828" s="26"/>
      <c r="J828" s="26"/>
      <c r="K828" s="26"/>
    </row>
    <row r="829" spans="1:11" ht="15.75" x14ac:dyDescent="0.25">
      <c r="A829" s="55"/>
      <c r="B829" s="21" t="s">
        <v>1161</v>
      </c>
      <c r="C829" s="21" t="s">
        <v>1162</v>
      </c>
      <c r="D829" s="26" t="s">
        <v>1169</v>
      </c>
      <c r="E829" s="71" t="s">
        <v>1170</v>
      </c>
      <c r="F829" s="21"/>
      <c r="G829" s="71" t="s">
        <v>76</v>
      </c>
      <c r="H829" s="69">
        <v>187696</v>
      </c>
      <c r="I829" s="26"/>
      <c r="J829" s="26"/>
      <c r="K829" s="26"/>
    </row>
    <row r="830" spans="1:11" x14ac:dyDescent="0.25">
      <c r="A830" s="55"/>
      <c r="B830" s="21" t="s">
        <v>1171</v>
      </c>
      <c r="C830" s="21" t="s">
        <v>1172</v>
      </c>
      <c r="D830" s="26" t="s">
        <v>1173</v>
      </c>
      <c r="E830" s="57" t="s">
        <v>1174</v>
      </c>
      <c r="F830" s="26"/>
      <c r="G830" s="71" t="s">
        <v>76</v>
      </c>
      <c r="H830" s="21"/>
      <c r="I830" s="26"/>
      <c r="J830" s="26"/>
      <c r="K830" s="26"/>
    </row>
    <row r="831" spans="1:11" x14ac:dyDescent="0.25">
      <c r="A831" s="55"/>
      <c r="B831" s="21" t="s">
        <v>1171</v>
      </c>
      <c r="C831" s="21" t="s">
        <v>1172</v>
      </c>
      <c r="D831" s="26" t="s">
        <v>1173</v>
      </c>
      <c r="E831" s="57" t="s">
        <v>1175</v>
      </c>
      <c r="F831" s="26"/>
      <c r="G831" s="71" t="s">
        <v>88</v>
      </c>
      <c r="H831" s="21">
        <v>189599</v>
      </c>
      <c r="I831" s="26"/>
      <c r="J831" s="26"/>
      <c r="K831" s="26"/>
    </row>
    <row r="832" spans="1:11" x14ac:dyDescent="0.25">
      <c r="A832" s="55"/>
      <c r="B832" s="21" t="s">
        <v>1171</v>
      </c>
      <c r="C832" s="21" t="s">
        <v>1172</v>
      </c>
      <c r="D832" s="26" t="s">
        <v>1173</v>
      </c>
      <c r="E832" s="57" t="s">
        <v>1176</v>
      </c>
      <c r="F832" s="26"/>
      <c r="G832" s="71" t="s">
        <v>136</v>
      </c>
      <c r="H832" s="21">
        <v>189599</v>
      </c>
      <c r="I832" s="26"/>
      <c r="J832" s="26"/>
      <c r="K832" s="26"/>
    </row>
    <row r="833" spans="1:11" x14ac:dyDescent="0.25">
      <c r="A833" s="55"/>
      <c r="B833" s="21" t="s">
        <v>1171</v>
      </c>
      <c r="C833" s="21" t="s">
        <v>1172</v>
      </c>
      <c r="D833" s="26" t="s">
        <v>1173</v>
      </c>
      <c r="E833" s="57" t="s">
        <v>1177</v>
      </c>
      <c r="F833" s="26"/>
      <c r="G833" s="71" t="s">
        <v>136</v>
      </c>
      <c r="H833" s="21">
        <v>189599</v>
      </c>
      <c r="I833" s="26"/>
      <c r="J833" s="26"/>
      <c r="K833" s="26"/>
    </row>
    <row r="834" spans="1:11" x14ac:dyDescent="0.25">
      <c r="A834" s="55"/>
      <c r="B834" s="43">
        <v>4.9000000000000004</v>
      </c>
      <c r="C834" s="26" t="s">
        <v>509</v>
      </c>
      <c r="D834" s="43" t="s">
        <v>1178</v>
      </c>
      <c r="E834" s="57" t="s">
        <v>1179</v>
      </c>
      <c r="F834" s="43"/>
      <c r="G834" s="57" t="s">
        <v>76</v>
      </c>
      <c r="H834" s="43"/>
      <c r="I834" s="26"/>
      <c r="J834" s="26"/>
      <c r="K834" s="26"/>
    </row>
    <row r="835" spans="1:11" x14ac:dyDescent="0.25">
      <c r="A835" s="55"/>
      <c r="B835" s="43">
        <v>4.9000000000000004</v>
      </c>
      <c r="C835" s="26" t="s">
        <v>509</v>
      </c>
      <c r="D835" s="43" t="s">
        <v>1180</v>
      </c>
      <c r="E835" s="57" t="s">
        <v>1181</v>
      </c>
      <c r="F835" s="43"/>
      <c r="G835" s="57" t="s">
        <v>76</v>
      </c>
      <c r="H835" s="70">
        <v>182648</v>
      </c>
      <c r="I835" s="26"/>
      <c r="J835" s="26"/>
      <c r="K835" s="26"/>
    </row>
    <row r="836" spans="1:11" x14ac:dyDescent="0.25">
      <c r="A836" s="55"/>
      <c r="B836" s="43">
        <v>4.9000000000000004</v>
      </c>
      <c r="C836" s="26" t="s">
        <v>509</v>
      </c>
      <c r="D836" s="43" t="s">
        <v>1182</v>
      </c>
      <c r="E836" s="57" t="s">
        <v>1183</v>
      </c>
      <c r="F836" s="43"/>
      <c r="G836" s="57" t="s">
        <v>76</v>
      </c>
      <c r="H836" s="43"/>
      <c r="I836" s="26"/>
      <c r="J836" s="26"/>
      <c r="K836" s="26"/>
    </row>
    <row r="837" spans="1:11" x14ac:dyDescent="0.25">
      <c r="A837" s="55"/>
      <c r="B837" s="43">
        <v>4.9000000000000004</v>
      </c>
      <c r="C837" s="26" t="s">
        <v>509</v>
      </c>
      <c r="D837" s="43" t="s">
        <v>1184</v>
      </c>
      <c r="E837" s="57" t="s">
        <v>1185</v>
      </c>
      <c r="F837" s="43"/>
      <c r="G837" s="57" t="s">
        <v>76</v>
      </c>
      <c r="H837" s="70" t="s">
        <v>1186</v>
      </c>
      <c r="I837" s="26"/>
      <c r="J837" s="26"/>
      <c r="K837" s="26"/>
    </row>
    <row r="838" spans="1:11" x14ac:dyDescent="0.25">
      <c r="A838" s="55"/>
      <c r="B838" s="43">
        <v>4.9000000000000004</v>
      </c>
      <c r="C838" s="26" t="s">
        <v>509</v>
      </c>
      <c r="D838" s="43" t="s">
        <v>1187</v>
      </c>
      <c r="E838" s="57" t="s">
        <v>1188</v>
      </c>
      <c r="F838" s="43"/>
      <c r="G838" s="57" t="s">
        <v>76</v>
      </c>
      <c r="H838" s="70">
        <v>182556</v>
      </c>
      <c r="I838" s="26"/>
      <c r="J838" s="26"/>
      <c r="K838" s="26"/>
    </row>
    <row r="839" spans="1:11" x14ac:dyDescent="0.25">
      <c r="A839" s="55"/>
      <c r="B839" s="43">
        <v>4.9000000000000004</v>
      </c>
      <c r="C839" s="26" t="s">
        <v>509</v>
      </c>
      <c r="D839" s="43" t="s">
        <v>1189</v>
      </c>
      <c r="E839" s="57" t="s">
        <v>1190</v>
      </c>
      <c r="F839" s="43"/>
      <c r="G839" s="57" t="s">
        <v>76</v>
      </c>
      <c r="H839" s="43"/>
      <c r="I839" s="26"/>
      <c r="J839" s="26"/>
      <c r="K839" s="26"/>
    </row>
    <row r="840" spans="1:11" x14ac:dyDescent="0.25">
      <c r="A840" s="55"/>
      <c r="B840" s="43">
        <v>6.1</v>
      </c>
      <c r="C840" s="43" t="s">
        <v>1191</v>
      </c>
      <c r="D840" s="43" t="s">
        <v>1192</v>
      </c>
      <c r="E840" s="57" t="s">
        <v>1193</v>
      </c>
      <c r="F840" s="43"/>
      <c r="G840" s="57" t="s">
        <v>76</v>
      </c>
      <c r="H840" s="43"/>
      <c r="I840" s="26"/>
      <c r="J840" s="26"/>
      <c r="K840" s="26"/>
    </row>
    <row r="841" spans="1:11" x14ac:dyDescent="0.25">
      <c r="A841" s="55"/>
      <c r="B841" s="43">
        <v>6.1</v>
      </c>
      <c r="C841" s="43" t="s">
        <v>1191</v>
      </c>
      <c r="D841" s="43" t="s">
        <v>1194</v>
      </c>
      <c r="E841" s="57" t="s">
        <v>764</v>
      </c>
      <c r="F841" s="43"/>
      <c r="G841" s="57" t="s">
        <v>76</v>
      </c>
      <c r="H841" s="43"/>
      <c r="I841" s="26"/>
      <c r="J841" s="26"/>
      <c r="K841" s="26"/>
    </row>
    <row r="842" spans="1:11" x14ac:dyDescent="0.25">
      <c r="A842" s="55"/>
      <c r="B842" s="43">
        <v>6.1</v>
      </c>
      <c r="C842" s="43" t="s">
        <v>1191</v>
      </c>
      <c r="D842" s="43" t="s">
        <v>1195</v>
      </c>
      <c r="E842" s="57" t="s">
        <v>1196</v>
      </c>
      <c r="F842" s="43"/>
      <c r="G842" s="57" t="s">
        <v>76</v>
      </c>
      <c r="H842" s="43"/>
      <c r="I842" s="26"/>
      <c r="J842" s="26"/>
      <c r="K842" s="26"/>
    </row>
    <row r="843" spans="1:11" x14ac:dyDescent="0.25">
      <c r="A843" s="55"/>
      <c r="B843" s="43">
        <v>6.1</v>
      </c>
      <c r="C843" s="43" t="s">
        <v>1191</v>
      </c>
      <c r="D843" s="43" t="s">
        <v>1197</v>
      </c>
      <c r="E843" s="57" t="s">
        <v>1198</v>
      </c>
      <c r="F843" s="43"/>
      <c r="G843" s="57" t="s">
        <v>76</v>
      </c>
      <c r="H843" s="43"/>
      <c r="I843" s="26"/>
      <c r="J843" s="26"/>
      <c r="K843" s="26"/>
    </row>
    <row r="844" spans="1:11" x14ac:dyDescent="0.25">
      <c r="A844" s="55"/>
      <c r="B844" s="43">
        <v>6.1</v>
      </c>
      <c r="C844" s="43" t="s">
        <v>1191</v>
      </c>
      <c r="D844" s="43" t="s">
        <v>1199</v>
      </c>
      <c r="E844" s="57" t="s">
        <v>1200</v>
      </c>
      <c r="F844" s="43"/>
      <c r="G844" s="57" t="s">
        <v>76</v>
      </c>
      <c r="H844" s="43"/>
      <c r="I844" s="26"/>
      <c r="J844" s="26"/>
      <c r="K844" s="26"/>
    </row>
    <row r="845" spans="1:11" x14ac:dyDescent="0.25">
      <c r="A845" s="55"/>
      <c r="B845" s="43">
        <v>6.1</v>
      </c>
      <c r="C845" s="43" t="s">
        <v>1201</v>
      </c>
      <c r="D845" s="43" t="s">
        <v>1202</v>
      </c>
      <c r="E845" s="57" t="s">
        <v>1203</v>
      </c>
      <c r="F845" s="43"/>
      <c r="G845" s="57" t="s">
        <v>76</v>
      </c>
      <c r="H845" s="43"/>
      <c r="I845" s="26"/>
      <c r="J845" s="26"/>
      <c r="K845" s="26"/>
    </row>
    <row r="846" spans="1:11" x14ac:dyDescent="0.25">
      <c r="A846" s="55"/>
      <c r="B846" s="43">
        <v>6.1</v>
      </c>
      <c r="C846" s="43" t="s">
        <v>1201</v>
      </c>
      <c r="D846" s="43" t="s">
        <v>1204</v>
      </c>
      <c r="E846" s="57" t="s">
        <v>1205</v>
      </c>
      <c r="F846" s="43"/>
      <c r="G846" s="57" t="s">
        <v>76</v>
      </c>
      <c r="H846" s="43"/>
      <c r="I846" s="26"/>
      <c r="J846" s="26"/>
      <c r="K846" s="26"/>
    </row>
    <row r="847" spans="1:11" x14ac:dyDescent="0.25">
      <c r="A847" s="55"/>
      <c r="B847" s="43">
        <v>6.1</v>
      </c>
      <c r="C847" s="43" t="s">
        <v>1201</v>
      </c>
      <c r="D847" s="43" t="s">
        <v>1206</v>
      </c>
      <c r="E847" s="57" t="s">
        <v>1207</v>
      </c>
      <c r="F847" s="43"/>
      <c r="G847" s="57" t="s">
        <v>88</v>
      </c>
      <c r="H847" s="43">
        <v>186839</v>
      </c>
      <c r="I847" s="74">
        <v>43077</v>
      </c>
      <c r="J847" s="26"/>
      <c r="K847" s="26"/>
    </row>
    <row r="848" spans="1:11" x14ac:dyDescent="0.25">
      <c r="A848" s="55"/>
      <c r="B848" s="43">
        <v>6.1</v>
      </c>
      <c r="C848" s="43" t="s">
        <v>1201</v>
      </c>
      <c r="D848" s="43" t="s">
        <v>1208</v>
      </c>
      <c r="E848" s="57" t="s">
        <v>1209</v>
      </c>
      <c r="F848" s="43"/>
      <c r="G848" s="57" t="s">
        <v>76</v>
      </c>
      <c r="H848" s="43"/>
      <c r="I848" s="26"/>
      <c r="J848" s="26"/>
      <c r="K848" s="26"/>
    </row>
    <row r="849" spans="1:11" x14ac:dyDescent="0.25">
      <c r="A849" s="55"/>
      <c r="B849" s="43">
        <v>6.1</v>
      </c>
      <c r="C849" s="43" t="s">
        <v>1201</v>
      </c>
      <c r="D849" s="43" t="s">
        <v>1210</v>
      </c>
      <c r="E849" s="57" t="s">
        <v>1211</v>
      </c>
      <c r="F849" s="43"/>
      <c r="G849" s="57" t="s">
        <v>76</v>
      </c>
      <c r="H849" s="43"/>
      <c r="I849" s="26"/>
      <c r="J849" s="26"/>
      <c r="K849" s="26"/>
    </row>
    <row r="850" spans="1:11" x14ac:dyDescent="0.25">
      <c r="A850" s="55"/>
      <c r="B850" s="43">
        <v>6.1</v>
      </c>
      <c r="C850" s="43" t="s">
        <v>1201</v>
      </c>
      <c r="D850" s="43" t="s">
        <v>1212</v>
      </c>
      <c r="E850" s="57" t="s">
        <v>1213</v>
      </c>
      <c r="F850" s="43"/>
      <c r="G850" s="57" t="s">
        <v>76</v>
      </c>
      <c r="H850" s="43"/>
      <c r="I850" s="26"/>
      <c r="J850" s="26"/>
      <c r="K850" s="26"/>
    </row>
    <row r="851" spans="1:11" x14ac:dyDescent="0.25">
      <c r="A851" s="55"/>
      <c r="B851" s="43">
        <v>6.1</v>
      </c>
      <c r="C851" s="43" t="s">
        <v>1201</v>
      </c>
      <c r="D851" s="43" t="s">
        <v>1214</v>
      </c>
      <c r="E851" s="57" t="s">
        <v>1215</v>
      </c>
      <c r="F851" s="43"/>
      <c r="G851" s="57" t="s">
        <v>76</v>
      </c>
      <c r="H851" s="43"/>
      <c r="I851" s="26"/>
      <c r="J851" s="26"/>
      <c r="K851" s="26"/>
    </row>
    <row r="852" spans="1:11" x14ac:dyDescent="0.25">
      <c r="A852" s="55"/>
      <c r="B852" s="43">
        <v>6.1</v>
      </c>
      <c r="C852" s="43" t="s">
        <v>1201</v>
      </c>
      <c r="D852" s="43" t="s">
        <v>1216</v>
      </c>
      <c r="E852" s="57" t="s">
        <v>1217</v>
      </c>
      <c r="F852" s="43"/>
      <c r="G852" s="57" t="s">
        <v>76</v>
      </c>
      <c r="H852" s="43"/>
      <c r="I852" s="26"/>
      <c r="J852" s="26"/>
      <c r="K852" s="26"/>
    </row>
    <row r="853" spans="1:11" x14ac:dyDescent="0.25">
      <c r="A853" s="55"/>
      <c r="B853" s="43">
        <v>6.1</v>
      </c>
      <c r="C853" s="43" t="s">
        <v>1201</v>
      </c>
      <c r="D853" s="43" t="s">
        <v>1218</v>
      </c>
      <c r="E853" s="57" t="s">
        <v>1219</v>
      </c>
      <c r="F853" s="43"/>
      <c r="G853" s="57" t="s">
        <v>126</v>
      </c>
      <c r="H853" s="43"/>
      <c r="I853" s="74">
        <v>43077</v>
      </c>
      <c r="J853" s="26"/>
      <c r="K853" s="26"/>
    </row>
    <row r="854" spans="1:11" x14ac:dyDescent="0.25">
      <c r="A854" s="55"/>
      <c r="B854" s="43">
        <v>6.1</v>
      </c>
      <c r="C854" s="43" t="s">
        <v>1201</v>
      </c>
      <c r="D854" s="43" t="s">
        <v>1220</v>
      </c>
      <c r="E854" s="57" t="s">
        <v>1221</v>
      </c>
      <c r="F854" s="43"/>
      <c r="G854" s="57" t="s">
        <v>76</v>
      </c>
      <c r="H854" s="43"/>
      <c r="I854" s="26"/>
      <c r="J854" s="26"/>
      <c r="K854" s="26"/>
    </row>
    <row r="855" spans="1:11" x14ac:dyDescent="0.25">
      <c r="A855" s="55"/>
      <c r="B855" s="43">
        <v>6.11</v>
      </c>
      <c r="C855" s="43" t="s">
        <v>559</v>
      </c>
      <c r="D855" s="43" t="s">
        <v>1222</v>
      </c>
      <c r="E855" s="57" t="s">
        <v>591</v>
      </c>
      <c r="F855" s="43"/>
      <c r="G855" s="57" t="s">
        <v>76</v>
      </c>
      <c r="H855" s="59">
        <v>183593</v>
      </c>
      <c r="I855" s="26"/>
      <c r="J855" s="26"/>
      <c r="K855" s="26"/>
    </row>
    <row r="856" spans="1:11" x14ac:dyDescent="0.25">
      <c r="A856" s="55"/>
      <c r="B856" s="43">
        <v>6.11</v>
      </c>
      <c r="C856" s="43" t="s">
        <v>559</v>
      </c>
      <c r="D856" s="43" t="s">
        <v>1223</v>
      </c>
      <c r="E856" s="57" t="s">
        <v>595</v>
      </c>
      <c r="F856" s="43"/>
      <c r="G856" s="57" t="s">
        <v>76</v>
      </c>
      <c r="H856" s="59">
        <v>182131</v>
      </c>
      <c r="I856" s="26"/>
      <c r="J856" s="26"/>
      <c r="K856" s="26"/>
    </row>
    <row r="857" spans="1:11" x14ac:dyDescent="0.25">
      <c r="A857" s="55"/>
      <c r="B857" s="43">
        <v>6.13</v>
      </c>
      <c r="C857" s="43" t="s">
        <v>653</v>
      </c>
      <c r="D857" s="43" t="s">
        <v>1224</v>
      </c>
      <c r="E857" s="57" t="s">
        <v>1225</v>
      </c>
      <c r="F857" s="43"/>
      <c r="G857" s="57" t="s">
        <v>126</v>
      </c>
      <c r="H857" s="72" t="s">
        <v>1226</v>
      </c>
      <c r="I857" s="26"/>
      <c r="J857" s="26"/>
      <c r="K857" s="26"/>
    </row>
    <row r="858" spans="1:11" x14ac:dyDescent="0.25">
      <c r="A858" s="55"/>
      <c r="B858" s="43">
        <v>6.13</v>
      </c>
      <c r="C858" s="43" t="s">
        <v>653</v>
      </c>
      <c r="D858" s="43" t="s">
        <v>1224</v>
      </c>
      <c r="E858" s="57" t="s">
        <v>1227</v>
      </c>
      <c r="F858" s="43"/>
      <c r="G858" s="57" t="s">
        <v>126</v>
      </c>
      <c r="H858" s="73" t="s">
        <v>1228</v>
      </c>
      <c r="I858" s="26"/>
      <c r="J858" s="26"/>
      <c r="K858" s="26"/>
    </row>
    <row r="859" spans="1:11" x14ac:dyDescent="0.25">
      <c r="A859" s="55"/>
      <c r="B859" s="43">
        <v>6.18</v>
      </c>
      <c r="C859" s="43" t="s">
        <v>1229</v>
      </c>
      <c r="D859" s="43" t="s">
        <v>1230</v>
      </c>
      <c r="E859" s="57" t="s">
        <v>1231</v>
      </c>
      <c r="F859" s="43"/>
      <c r="G859" s="57" t="s">
        <v>76</v>
      </c>
      <c r="H859" s="43"/>
      <c r="I859" s="26"/>
      <c r="J859" s="26"/>
      <c r="K859" s="26"/>
    </row>
    <row r="860" spans="1:11" x14ac:dyDescent="0.25">
      <c r="A860" s="55"/>
      <c r="B860" s="43">
        <v>6.18</v>
      </c>
      <c r="C860" s="43" t="s">
        <v>1229</v>
      </c>
      <c r="D860" s="43" t="s">
        <v>1232</v>
      </c>
      <c r="E860" s="57" t="s">
        <v>1233</v>
      </c>
      <c r="F860" s="43"/>
      <c r="G860" s="57" t="s">
        <v>76</v>
      </c>
      <c r="H860" s="43"/>
      <c r="I860" s="26"/>
      <c r="J860" s="26"/>
      <c r="K860" s="26"/>
    </row>
    <row r="861" spans="1:11" x14ac:dyDescent="0.25">
      <c r="A861" s="55"/>
      <c r="B861" s="43">
        <v>6.18</v>
      </c>
      <c r="C861" s="43" t="s">
        <v>1229</v>
      </c>
      <c r="D861" s="43" t="s">
        <v>1234</v>
      </c>
      <c r="E861" s="57" t="s">
        <v>1235</v>
      </c>
      <c r="F861" s="43"/>
      <c r="G861" s="57" t="s">
        <v>76</v>
      </c>
      <c r="H861" s="43"/>
      <c r="I861" s="26"/>
      <c r="J861" s="26"/>
      <c r="K861" s="26"/>
    </row>
    <row r="862" spans="1:11" x14ac:dyDescent="0.25">
      <c r="A862" s="55"/>
      <c r="B862" s="43">
        <v>6.18</v>
      </c>
      <c r="C862" s="43" t="s">
        <v>1229</v>
      </c>
      <c r="D862" s="43" t="s">
        <v>1236</v>
      </c>
      <c r="E862" s="57" t="s">
        <v>1237</v>
      </c>
      <c r="F862" s="43"/>
      <c r="G862" s="57" t="s">
        <v>76</v>
      </c>
      <c r="H862" s="43"/>
      <c r="I862" s="26"/>
      <c r="J862" s="26"/>
      <c r="K862" s="26"/>
    </row>
    <row r="863" spans="1:11" x14ac:dyDescent="0.25">
      <c r="A863" s="55"/>
      <c r="B863" s="43">
        <v>6.18</v>
      </c>
      <c r="C863" s="43" t="s">
        <v>1229</v>
      </c>
      <c r="D863" s="43" t="s">
        <v>1238</v>
      </c>
      <c r="E863" s="57" t="s">
        <v>1239</v>
      </c>
      <c r="F863" s="43"/>
      <c r="G863" s="57" t="s">
        <v>76</v>
      </c>
      <c r="H863" s="43"/>
      <c r="I863" s="26"/>
      <c r="J863" s="26"/>
      <c r="K863" s="26"/>
    </row>
    <row r="864" spans="1:11" x14ac:dyDescent="0.25">
      <c r="A864" s="55"/>
      <c r="B864" s="43">
        <v>6.18</v>
      </c>
      <c r="C864" s="43" t="s">
        <v>1229</v>
      </c>
      <c r="D864" s="43" t="s">
        <v>1240</v>
      </c>
      <c r="E864" s="57" t="s">
        <v>1241</v>
      </c>
      <c r="F864" s="43"/>
      <c r="G864" s="57" t="s">
        <v>76</v>
      </c>
      <c r="H864" s="43"/>
      <c r="I864" s="26"/>
      <c r="J864" s="26"/>
      <c r="K864" s="26"/>
    </row>
    <row r="865" spans="1:11" x14ac:dyDescent="0.25">
      <c r="A865" s="55"/>
      <c r="B865" s="43">
        <v>6.18</v>
      </c>
      <c r="C865" s="43" t="s">
        <v>1229</v>
      </c>
      <c r="D865" s="43" t="s">
        <v>1242</v>
      </c>
      <c r="E865" s="57" t="s">
        <v>1243</v>
      </c>
      <c r="F865" s="43"/>
      <c r="G865" s="57" t="s">
        <v>76</v>
      </c>
      <c r="H865" s="43"/>
      <c r="I865" s="26"/>
      <c r="J865" s="26"/>
      <c r="K865" s="26"/>
    </row>
    <row r="866" spans="1:11" x14ac:dyDescent="0.25">
      <c r="A866" s="55"/>
      <c r="B866" s="43">
        <v>6.18</v>
      </c>
      <c r="C866" s="43" t="s">
        <v>1229</v>
      </c>
      <c r="D866" s="43" t="s">
        <v>1244</v>
      </c>
      <c r="E866" s="57" t="s">
        <v>1245</v>
      </c>
      <c r="F866" s="43"/>
      <c r="G866" s="57" t="s">
        <v>76</v>
      </c>
      <c r="H866" s="43"/>
      <c r="I866" s="26"/>
      <c r="J866" s="26"/>
      <c r="K866" s="26"/>
    </row>
    <row r="867" spans="1:11" x14ac:dyDescent="0.25">
      <c r="A867" s="55"/>
      <c r="B867" s="43">
        <v>6.18</v>
      </c>
      <c r="C867" s="43" t="s">
        <v>1229</v>
      </c>
      <c r="D867" s="43" t="s">
        <v>1246</v>
      </c>
      <c r="E867" s="57" t="s">
        <v>1247</v>
      </c>
      <c r="F867" s="43"/>
      <c r="G867" s="57" t="s">
        <v>76</v>
      </c>
      <c r="H867" s="43"/>
      <c r="I867" s="26"/>
      <c r="J867" s="26"/>
      <c r="K867" s="26"/>
    </row>
    <row r="868" spans="1:11" x14ac:dyDescent="0.25">
      <c r="A868" s="55"/>
      <c r="B868" s="43">
        <v>6.18</v>
      </c>
      <c r="C868" s="43" t="s">
        <v>1229</v>
      </c>
      <c r="D868" s="43" t="s">
        <v>1248</v>
      </c>
      <c r="E868" s="57" t="s">
        <v>1249</v>
      </c>
      <c r="F868" s="43"/>
      <c r="G868" s="57" t="s">
        <v>76</v>
      </c>
      <c r="H868" s="43"/>
      <c r="I868" s="26"/>
      <c r="J868" s="26"/>
      <c r="K868" s="26"/>
    </row>
    <row r="869" spans="1:11" x14ac:dyDescent="0.25">
      <c r="A869" s="55"/>
      <c r="B869" s="43">
        <v>6.18</v>
      </c>
      <c r="C869" s="43" t="s">
        <v>1229</v>
      </c>
      <c r="D869" s="43" t="s">
        <v>1250</v>
      </c>
      <c r="E869" s="57" t="s">
        <v>1251</v>
      </c>
      <c r="F869" s="43"/>
      <c r="G869" s="57" t="s">
        <v>76</v>
      </c>
      <c r="H869" s="43"/>
      <c r="I869" s="26"/>
      <c r="J869" s="26"/>
      <c r="K869" s="26"/>
    </row>
    <row r="870" spans="1:11" x14ac:dyDescent="0.25">
      <c r="A870" s="55"/>
      <c r="B870" s="43">
        <v>6.18</v>
      </c>
      <c r="C870" s="43" t="s">
        <v>1229</v>
      </c>
      <c r="D870" s="43" t="s">
        <v>1252</v>
      </c>
      <c r="E870" s="57" t="s">
        <v>1253</v>
      </c>
      <c r="F870" s="43"/>
      <c r="G870" s="57" t="s">
        <v>76</v>
      </c>
      <c r="H870" s="43"/>
      <c r="I870" s="26"/>
      <c r="J870" s="26"/>
      <c r="K870" s="26"/>
    </row>
    <row r="871" spans="1:11" x14ac:dyDescent="0.25">
      <c r="A871" s="55"/>
      <c r="B871" s="43">
        <v>6.18</v>
      </c>
      <c r="C871" s="43" t="s">
        <v>1229</v>
      </c>
      <c r="D871" s="43" t="s">
        <v>1254</v>
      </c>
      <c r="E871" s="57" t="s">
        <v>1255</v>
      </c>
      <c r="F871" s="43"/>
      <c r="G871" s="57" t="s">
        <v>76</v>
      </c>
      <c r="H871" s="43"/>
      <c r="I871" s="26"/>
      <c r="J871" s="26"/>
      <c r="K871" s="26"/>
    </row>
    <row r="872" spans="1:11" x14ac:dyDescent="0.25">
      <c r="A872" s="55"/>
      <c r="B872" s="43">
        <v>6.18</v>
      </c>
      <c r="C872" s="43" t="s">
        <v>1229</v>
      </c>
      <c r="D872" s="43" t="s">
        <v>1256</v>
      </c>
      <c r="E872" s="57" t="s">
        <v>1257</v>
      </c>
      <c r="F872" s="43"/>
      <c r="G872" s="57" t="s">
        <v>76</v>
      </c>
      <c r="H872" s="43"/>
      <c r="I872" s="26"/>
      <c r="J872" s="26"/>
      <c r="K872" s="26"/>
    </row>
    <row r="873" spans="1:11" x14ac:dyDescent="0.25">
      <c r="A873" s="55"/>
      <c r="B873" s="43">
        <v>6.18</v>
      </c>
      <c r="C873" s="43" t="s">
        <v>1229</v>
      </c>
      <c r="D873" s="43" t="s">
        <v>1258</v>
      </c>
      <c r="E873" s="57" t="s">
        <v>1259</v>
      </c>
      <c r="F873" s="43"/>
      <c r="G873" s="57" t="s">
        <v>76</v>
      </c>
      <c r="H873" s="43"/>
      <c r="I873" s="26"/>
      <c r="J873" s="26"/>
      <c r="K873" s="26"/>
    </row>
    <row r="874" spans="1:11" x14ac:dyDescent="0.25">
      <c r="A874" s="55"/>
      <c r="B874" s="43">
        <v>6.18</v>
      </c>
      <c r="C874" s="43" t="s">
        <v>1229</v>
      </c>
      <c r="D874" s="43" t="s">
        <v>1260</v>
      </c>
      <c r="E874" s="57" t="s">
        <v>1261</v>
      </c>
      <c r="F874" s="43"/>
      <c r="G874" s="57" t="s">
        <v>76</v>
      </c>
      <c r="H874" s="43"/>
      <c r="I874" s="26"/>
      <c r="J874" s="26"/>
      <c r="K874" s="26"/>
    </row>
    <row r="875" spans="1:11" x14ac:dyDescent="0.25">
      <c r="A875" s="55"/>
      <c r="B875" s="43">
        <v>6.18</v>
      </c>
      <c r="C875" s="43" t="s">
        <v>1229</v>
      </c>
      <c r="D875" s="43" t="s">
        <v>1262</v>
      </c>
      <c r="E875" s="57" t="s">
        <v>1263</v>
      </c>
      <c r="F875" s="43"/>
      <c r="G875" s="57" t="s">
        <v>76</v>
      </c>
      <c r="H875" s="43"/>
      <c r="I875" s="26"/>
      <c r="J875" s="26"/>
      <c r="K875" s="26"/>
    </row>
    <row r="876" spans="1:11" x14ac:dyDescent="0.25">
      <c r="A876" s="55"/>
      <c r="B876" s="43">
        <v>6.18</v>
      </c>
      <c r="C876" s="43" t="s">
        <v>1229</v>
      </c>
      <c r="D876" s="43" t="s">
        <v>1264</v>
      </c>
      <c r="E876" s="57" t="s">
        <v>1265</v>
      </c>
      <c r="F876" s="43"/>
      <c r="G876" s="57" t="s">
        <v>76</v>
      </c>
      <c r="H876" s="43"/>
      <c r="I876" s="26"/>
      <c r="J876" s="26"/>
      <c r="K876" s="26"/>
    </row>
    <row r="877" spans="1:11" x14ac:dyDescent="0.25">
      <c r="A877" s="55"/>
      <c r="B877" s="43">
        <v>6.18</v>
      </c>
      <c r="C877" s="43" t="s">
        <v>1229</v>
      </c>
      <c r="D877" s="43" t="s">
        <v>1266</v>
      </c>
      <c r="E877" s="57" t="s">
        <v>1267</v>
      </c>
      <c r="F877" s="43"/>
      <c r="G877" s="57" t="s">
        <v>76</v>
      </c>
      <c r="H877" s="43"/>
      <c r="I877" s="26"/>
      <c r="J877" s="26"/>
      <c r="K877" s="26"/>
    </row>
    <row r="878" spans="1:11" x14ac:dyDescent="0.25">
      <c r="A878" s="55"/>
      <c r="B878" s="43">
        <v>6.18</v>
      </c>
      <c r="C878" s="43" t="s">
        <v>1229</v>
      </c>
      <c r="D878" s="43" t="s">
        <v>1268</v>
      </c>
      <c r="E878" s="57" t="s">
        <v>1269</v>
      </c>
      <c r="F878" s="43"/>
      <c r="G878" s="57" t="s">
        <v>76</v>
      </c>
      <c r="H878" s="43"/>
      <c r="I878" s="26"/>
      <c r="J878" s="26"/>
      <c r="K878" s="26"/>
    </row>
    <row r="879" spans="1:11" x14ac:dyDescent="0.25">
      <c r="A879" s="55"/>
      <c r="B879" s="43">
        <v>6.18</v>
      </c>
      <c r="C879" s="43" t="s">
        <v>1229</v>
      </c>
      <c r="D879" s="43" t="s">
        <v>1270</v>
      </c>
      <c r="E879" s="57" t="s">
        <v>1271</v>
      </c>
      <c r="F879" s="43"/>
      <c r="G879" s="57" t="s">
        <v>76</v>
      </c>
      <c r="H879" s="43"/>
      <c r="I879" s="26"/>
      <c r="J879" s="26"/>
      <c r="K879" s="26"/>
    </row>
    <row r="880" spans="1:11" x14ac:dyDescent="0.25">
      <c r="A880" s="55"/>
      <c r="B880" s="43">
        <v>6.18</v>
      </c>
      <c r="C880" s="43" t="s">
        <v>1229</v>
      </c>
      <c r="D880" s="43" t="s">
        <v>1272</v>
      </c>
      <c r="E880" s="57" t="s">
        <v>1273</v>
      </c>
      <c r="F880" s="43"/>
      <c r="G880" s="57" t="s">
        <v>76</v>
      </c>
      <c r="H880" s="43"/>
      <c r="I880" s="26"/>
      <c r="J880" s="26"/>
      <c r="K880" s="26"/>
    </row>
    <row r="881" spans="1:11" x14ac:dyDescent="0.25">
      <c r="A881" s="55"/>
      <c r="B881" s="43">
        <v>6.18</v>
      </c>
      <c r="C881" s="43" t="s">
        <v>1229</v>
      </c>
      <c r="D881" s="43" t="s">
        <v>1274</v>
      </c>
      <c r="E881" s="57" t="s">
        <v>1275</v>
      </c>
      <c r="F881" s="43"/>
      <c r="G881" s="57" t="s">
        <v>76</v>
      </c>
      <c r="H881" s="43"/>
      <c r="I881" s="26"/>
      <c r="J881" s="26"/>
      <c r="K881" s="26"/>
    </row>
    <row r="882" spans="1:11" x14ac:dyDescent="0.25">
      <c r="A882" s="55"/>
      <c r="B882" s="43">
        <v>6.18</v>
      </c>
      <c r="C882" s="43" t="s">
        <v>1229</v>
      </c>
      <c r="D882" s="43" t="s">
        <v>1276</v>
      </c>
      <c r="E882" s="57" t="s">
        <v>1277</v>
      </c>
      <c r="F882" s="43"/>
      <c r="G882" s="57" t="s">
        <v>76</v>
      </c>
      <c r="H882" s="43"/>
      <c r="I882" s="26"/>
      <c r="J882" s="26"/>
      <c r="K882" s="26"/>
    </row>
    <row r="883" spans="1:11" x14ac:dyDescent="0.25">
      <c r="A883" s="55"/>
      <c r="B883" s="43">
        <v>6.18</v>
      </c>
      <c r="C883" s="43" t="s">
        <v>1229</v>
      </c>
      <c r="D883" s="43" t="s">
        <v>1278</v>
      </c>
      <c r="E883" s="57" t="s">
        <v>1279</v>
      </c>
      <c r="F883" s="43"/>
      <c r="G883" s="57" t="s">
        <v>76</v>
      </c>
      <c r="H883" s="43"/>
      <c r="I883" s="26"/>
      <c r="J883" s="26"/>
      <c r="K883" s="26"/>
    </row>
    <row r="884" spans="1:11" x14ac:dyDescent="0.25">
      <c r="A884" s="55"/>
      <c r="B884" s="43">
        <v>6.18</v>
      </c>
      <c r="C884" s="43" t="s">
        <v>1229</v>
      </c>
      <c r="D884" s="43" t="s">
        <v>1280</v>
      </c>
      <c r="E884" s="57" t="s">
        <v>1281</v>
      </c>
      <c r="F884" s="43"/>
      <c r="G884" s="57" t="s">
        <v>76</v>
      </c>
      <c r="H884" s="43"/>
      <c r="I884" s="26"/>
      <c r="J884" s="26"/>
      <c r="K884" s="26"/>
    </row>
    <row r="885" spans="1:11" x14ac:dyDescent="0.25">
      <c r="A885" s="55"/>
      <c r="B885" s="43">
        <v>6.18</v>
      </c>
      <c r="C885" s="43" t="s">
        <v>1229</v>
      </c>
      <c r="D885" s="43" t="s">
        <v>1282</v>
      </c>
      <c r="E885" s="57" t="s">
        <v>1283</v>
      </c>
      <c r="F885" s="43"/>
      <c r="G885" s="57" t="s">
        <v>76</v>
      </c>
      <c r="H885" s="43"/>
      <c r="I885" s="26"/>
      <c r="J885" s="26"/>
      <c r="K885" s="26"/>
    </row>
    <row r="886" spans="1:11" x14ac:dyDescent="0.25">
      <c r="A886" s="55"/>
      <c r="B886" s="43">
        <v>6.18</v>
      </c>
      <c r="C886" s="43" t="s">
        <v>1229</v>
      </c>
      <c r="D886" s="43" t="s">
        <v>1284</v>
      </c>
      <c r="E886" s="57" t="s">
        <v>1285</v>
      </c>
      <c r="F886" s="43"/>
      <c r="G886" s="57" t="s">
        <v>76</v>
      </c>
      <c r="H886" s="43"/>
      <c r="I886" s="26"/>
      <c r="J886" s="26"/>
      <c r="K886" s="26"/>
    </row>
    <row r="887" spans="1:11" x14ac:dyDescent="0.25">
      <c r="A887" s="55"/>
      <c r="B887" s="43">
        <v>6.18</v>
      </c>
      <c r="C887" s="43" t="s">
        <v>1229</v>
      </c>
      <c r="D887" s="43" t="s">
        <v>1286</v>
      </c>
      <c r="E887" s="57" t="s">
        <v>1287</v>
      </c>
      <c r="F887" s="43"/>
      <c r="G887" s="57" t="s">
        <v>76</v>
      </c>
      <c r="H887" s="43"/>
      <c r="I887" s="26"/>
      <c r="J887" s="26"/>
      <c r="K887" s="26"/>
    </row>
    <row r="888" spans="1:11" x14ac:dyDescent="0.25">
      <c r="A888" s="55"/>
      <c r="B888" s="43">
        <v>6.18</v>
      </c>
      <c r="C888" s="43" t="s">
        <v>1229</v>
      </c>
      <c r="D888" s="43" t="s">
        <v>1288</v>
      </c>
      <c r="E888" s="57" t="s">
        <v>1289</v>
      </c>
      <c r="F888" s="43"/>
      <c r="G888" s="57" t="s">
        <v>76</v>
      </c>
      <c r="H888" s="43"/>
      <c r="I888" s="26"/>
      <c r="J888" s="26"/>
      <c r="K888" s="26"/>
    </row>
    <row r="889" spans="1:11" x14ac:dyDescent="0.25">
      <c r="A889" s="55"/>
      <c r="B889" s="43">
        <v>6.18</v>
      </c>
      <c r="C889" s="43" t="s">
        <v>1229</v>
      </c>
      <c r="D889" s="43" t="s">
        <v>1290</v>
      </c>
      <c r="E889" s="57" t="s">
        <v>1291</v>
      </c>
      <c r="F889" s="43"/>
      <c r="G889" s="57" t="s">
        <v>76</v>
      </c>
      <c r="H889" s="43"/>
      <c r="I889" s="26"/>
      <c r="J889" s="26"/>
      <c r="K889" s="26"/>
    </row>
    <row r="890" spans="1:11" x14ac:dyDescent="0.25">
      <c r="A890" s="55"/>
      <c r="B890" s="43">
        <v>6.18</v>
      </c>
      <c r="C890" s="43" t="s">
        <v>1229</v>
      </c>
      <c r="D890" s="43" t="s">
        <v>1292</v>
      </c>
      <c r="E890" s="57" t="s">
        <v>1293</v>
      </c>
      <c r="F890" s="43"/>
      <c r="G890" s="57" t="s">
        <v>76</v>
      </c>
      <c r="H890" s="43"/>
      <c r="I890" s="26"/>
      <c r="J890" s="26"/>
      <c r="K890" s="26"/>
    </row>
    <row r="891" spans="1:11" x14ac:dyDescent="0.25">
      <c r="A891" s="55"/>
      <c r="B891" s="43">
        <v>6.18</v>
      </c>
      <c r="C891" s="43" t="s">
        <v>1229</v>
      </c>
      <c r="D891" s="43" t="s">
        <v>1294</v>
      </c>
      <c r="E891" s="57" t="s">
        <v>1295</v>
      </c>
      <c r="F891" s="43"/>
      <c r="G891" s="57" t="s">
        <v>76</v>
      </c>
      <c r="H891" s="43"/>
      <c r="I891" s="26"/>
      <c r="J891" s="26"/>
      <c r="K891" s="26"/>
    </row>
    <row r="892" spans="1:11" x14ac:dyDescent="0.25">
      <c r="A892" s="55"/>
      <c r="B892" s="43">
        <v>6.18</v>
      </c>
      <c r="C892" s="43" t="s">
        <v>1229</v>
      </c>
      <c r="D892" s="43" t="s">
        <v>1296</v>
      </c>
      <c r="E892" s="57" t="s">
        <v>1297</v>
      </c>
      <c r="F892" s="43"/>
      <c r="G892" s="57" t="s">
        <v>76</v>
      </c>
      <c r="H892" s="43"/>
      <c r="I892" s="26"/>
      <c r="J892" s="26"/>
      <c r="K892" s="26"/>
    </row>
    <row r="893" spans="1:11" x14ac:dyDescent="0.25">
      <c r="A893" s="55"/>
      <c r="B893" s="43">
        <v>6.18</v>
      </c>
      <c r="C893" s="43" t="s">
        <v>1229</v>
      </c>
      <c r="D893" s="43" t="s">
        <v>1298</v>
      </c>
      <c r="E893" s="57" t="s">
        <v>1299</v>
      </c>
      <c r="F893" s="43"/>
      <c r="G893" s="57" t="s">
        <v>76</v>
      </c>
      <c r="H893" s="43"/>
      <c r="I893" s="26"/>
      <c r="J893" s="26"/>
      <c r="K893" s="26"/>
    </row>
    <row r="894" spans="1:11" x14ac:dyDescent="0.25">
      <c r="A894" s="55"/>
      <c r="B894" s="43">
        <v>6.18</v>
      </c>
      <c r="C894" s="43" t="s">
        <v>1229</v>
      </c>
      <c r="D894" s="43" t="s">
        <v>1300</v>
      </c>
      <c r="E894" s="57" t="s">
        <v>1301</v>
      </c>
      <c r="F894" s="43"/>
      <c r="G894" s="57" t="s">
        <v>76</v>
      </c>
      <c r="H894" s="43"/>
      <c r="I894" s="26"/>
      <c r="J894" s="26"/>
      <c r="K894" s="26"/>
    </row>
    <row r="895" spans="1:11" x14ac:dyDescent="0.25">
      <c r="A895" s="55"/>
      <c r="B895" s="43">
        <v>6.18</v>
      </c>
      <c r="C895" s="43" t="s">
        <v>1229</v>
      </c>
      <c r="D895" s="43" t="s">
        <v>1302</v>
      </c>
      <c r="E895" s="57" t="s">
        <v>1303</v>
      </c>
      <c r="F895" s="43"/>
      <c r="G895" s="57" t="s">
        <v>76</v>
      </c>
      <c r="H895" s="43"/>
      <c r="I895" s="26"/>
      <c r="J895" s="26"/>
      <c r="K895" s="26"/>
    </row>
    <row r="896" spans="1:11" x14ac:dyDescent="0.25">
      <c r="A896" s="55"/>
      <c r="B896" s="43">
        <v>6.18</v>
      </c>
      <c r="C896" s="43" t="s">
        <v>1229</v>
      </c>
      <c r="D896" s="43" t="s">
        <v>1304</v>
      </c>
      <c r="E896" s="57" t="s">
        <v>1305</v>
      </c>
      <c r="F896" s="43"/>
      <c r="G896" s="57" t="s">
        <v>76</v>
      </c>
      <c r="H896" s="43"/>
      <c r="I896" s="26"/>
      <c r="J896" s="26"/>
      <c r="K896" s="26"/>
    </row>
    <row r="897" spans="1:11" x14ac:dyDescent="0.25">
      <c r="A897" s="55"/>
      <c r="B897" s="43">
        <v>6.18</v>
      </c>
      <c r="C897" s="43" t="s">
        <v>1229</v>
      </c>
      <c r="D897" s="43" t="s">
        <v>1306</v>
      </c>
      <c r="E897" s="57" t="s">
        <v>1307</v>
      </c>
      <c r="F897" s="43"/>
      <c r="G897" s="57" t="s">
        <v>76</v>
      </c>
      <c r="H897" s="43"/>
      <c r="I897" s="26"/>
      <c r="J897" s="26"/>
      <c r="K897" s="26"/>
    </row>
    <row r="898" spans="1:11" x14ac:dyDescent="0.25">
      <c r="A898" s="55"/>
      <c r="B898" s="43">
        <v>6.18</v>
      </c>
      <c r="C898" s="43" t="s">
        <v>1229</v>
      </c>
      <c r="D898" s="43" t="s">
        <v>1308</v>
      </c>
      <c r="E898" s="57" t="s">
        <v>1309</v>
      </c>
      <c r="F898" s="43"/>
      <c r="G898" s="57" t="s">
        <v>76</v>
      </c>
      <c r="H898" s="43"/>
      <c r="I898" s="26"/>
      <c r="J898" s="26"/>
      <c r="K898" s="26"/>
    </row>
    <row r="899" spans="1:11" x14ac:dyDescent="0.25">
      <c r="A899" s="55"/>
      <c r="B899" s="43">
        <v>6.18</v>
      </c>
      <c r="C899" s="43" t="s">
        <v>1229</v>
      </c>
      <c r="D899" s="43" t="s">
        <v>1310</v>
      </c>
      <c r="E899" s="57" t="s">
        <v>1311</v>
      </c>
      <c r="F899" s="43"/>
      <c r="G899" s="57" t="s">
        <v>76</v>
      </c>
      <c r="H899" s="43"/>
      <c r="I899" s="26"/>
      <c r="J899" s="26"/>
      <c r="K899" s="26"/>
    </row>
    <row r="900" spans="1:11" x14ac:dyDescent="0.25">
      <c r="A900" s="55"/>
      <c r="B900" s="43">
        <v>6.18</v>
      </c>
      <c r="C900" s="43" t="s">
        <v>1229</v>
      </c>
      <c r="D900" s="43" t="s">
        <v>1310</v>
      </c>
      <c r="E900" s="57" t="s">
        <v>1312</v>
      </c>
      <c r="F900" s="43"/>
      <c r="G900" s="57" t="s">
        <v>76</v>
      </c>
      <c r="H900" s="43"/>
      <c r="I900" s="26"/>
      <c r="J900" s="26"/>
      <c r="K900" s="26"/>
    </row>
    <row r="901" spans="1:11" x14ac:dyDescent="0.25">
      <c r="A901" s="55"/>
      <c r="B901" s="43">
        <v>6.18</v>
      </c>
      <c r="C901" s="43" t="s">
        <v>1229</v>
      </c>
      <c r="D901" s="43" t="s">
        <v>1313</v>
      </c>
      <c r="E901" s="57" t="s">
        <v>1314</v>
      </c>
      <c r="F901" s="43"/>
      <c r="G901" s="57" t="s">
        <v>76</v>
      </c>
      <c r="H901" s="43"/>
      <c r="I901" s="26"/>
      <c r="J901" s="26"/>
      <c r="K901" s="26"/>
    </row>
    <row r="902" spans="1:11" x14ac:dyDescent="0.25">
      <c r="A902" s="55"/>
      <c r="B902" s="43">
        <v>6.18</v>
      </c>
      <c r="C902" s="43" t="s">
        <v>1229</v>
      </c>
      <c r="D902" s="43" t="s">
        <v>1313</v>
      </c>
      <c r="E902" s="57" t="s">
        <v>1315</v>
      </c>
      <c r="F902" s="43"/>
      <c r="G902" s="57" t="s">
        <v>76</v>
      </c>
      <c r="H902" s="43"/>
      <c r="I902" s="26"/>
      <c r="J902" s="26"/>
      <c r="K902" s="26"/>
    </row>
    <row r="903" spans="1:11" x14ac:dyDescent="0.25">
      <c r="A903" s="55"/>
      <c r="B903" s="43">
        <v>6.18</v>
      </c>
      <c r="C903" s="43" t="s">
        <v>1229</v>
      </c>
      <c r="D903" s="43" t="s">
        <v>1316</v>
      </c>
      <c r="E903" s="57" t="s">
        <v>1317</v>
      </c>
      <c r="F903" s="43"/>
      <c r="G903" s="57" t="s">
        <v>76</v>
      </c>
      <c r="H903" s="43"/>
      <c r="I903" s="26"/>
      <c r="J903" s="26"/>
      <c r="K903" s="26"/>
    </row>
    <row r="904" spans="1:11" x14ac:dyDescent="0.25">
      <c r="A904" s="55"/>
      <c r="B904" s="43">
        <v>6.18</v>
      </c>
      <c r="C904" s="43" t="s">
        <v>1229</v>
      </c>
      <c r="D904" s="43" t="s">
        <v>1318</v>
      </c>
      <c r="E904" s="57" t="s">
        <v>1319</v>
      </c>
      <c r="F904" s="43"/>
      <c r="G904" s="57" t="s">
        <v>76</v>
      </c>
      <c r="H904" s="43"/>
      <c r="I904" s="26"/>
      <c r="J904" s="26"/>
      <c r="K904" s="26"/>
    </row>
    <row r="905" spans="1:11" x14ac:dyDescent="0.25">
      <c r="A905" s="55"/>
      <c r="B905" s="43">
        <v>6.18</v>
      </c>
      <c r="C905" s="43" t="s">
        <v>1229</v>
      </c>
      <c r="D905" s="43" t="s">
        <v>1320</v>
      </c>
      <c r="E905" s="57" t="s">
        <v>1321</v>
      </c>
      <c r="F905" s="43"/>
      <c r="G905" s="57" t="s">
        <v>76</v>
      </c>
      <c r="H905" s="43"/>
      <c r="I905" s="26"/>
      <c r="J905" s="26"/>
      <c r="K905" s="26"/>
    </row>
    <row r="906" spans="1:11" x14ac:dyDescent="0.25">
      <c r="A906" s="55"/>
      <c r="B906" s="43">
        <v>6.18</v>
      </c>
      <c r="C906" s="43" t="s">
        <v>1229</v>
      </c>
      <c r="D906" s="43" t="s">
        <v>1322</v>
      </c>
      <c r="E906" s="57" t="s">
        <v>1323</v>
      </c>
      <c r="F906" s="43"/>
      <c r="G906" s="57" t="s">
        <v>76</v>
      </c>
      <c r="H906" s="43"/>
      <c r="I906" s="26"/>
      <c r="J906" s="26"/>
      <c r="K906" s="26"/>
    </row>
    <row r="907" spans="1:11" x14ac:dyDescent="0.25">
      <c r="A907" s="55"/>
      <c r="B907" s="43">
        <v>6.18</v>
      </c>
      <c r="C907" s="43" t="s">
        <v>1229</v>
      </c>
      <c r="D907" s="43" t="s">
        <v>1324</v>
      </c>
      <c r="E907" s="57" t="s">
        <v>1325</v>
      </c>
      <c r="F907" s="43"/>
      <c r="G907" s="57" t="s">
        <v>76</v>
      </c>
      <c r="H907" s="43"/>
      <c r="I907" s="26"/>
      <c r="J907" s="26"/>
      <c r="K907" s="26"/>
    </row>
    <row r="908" spans="1:11" x14ac:dyDescent="0.25">
      <c r="A908" s="55"/>
      <c r="B908" s="43">
        <v>6.18</v>
      </c>
      <c r="C908" s="43" t="s">
        <v>1229</v>
      </c>
      <c r="D908" s="43" t="s">
        <v>1326</v>
      </c>
      <c r="E908" s="57" t="s">
        <v>1327</v>
      </c>
      <c r="F908" s="43"/>
      <c r="G908" s="57" t="s">
        <v>76</v>
      </c>
      <c r="H908" s="43"/>
      <c r="I908" s="26"/>
      <c r="J908" s="26"/>
      <c r="K908" s="26"/>
    </row>
    <row r="909" spans="1:11" x14ac:dyDescent="0.25">
      <c r="A909" s="55"/>
      <c r="B909" s="43">
        <v>6.18</v>
      </c>
      <c r="C909" s="43" t="s">
        <v>1229</v>
      </c>
      <c r="D909" s="43" t="s">
        <v>1328</v>
      </c>
      <c r="E909" s="57" t="s">
        <v>1329</v>
      </c>
      <c r="F909" s="43"/>
      <c r="G909" s="57" t="s">
        <v>76</v>
      </c>
      <c r="H909" s="43"/>
      <c r="I909" s="26"/>
      <c r="J909" s="26"/>
      <c r="K909" s="26"/>
    </row>
    <row r="910" spans="1:11" x14ac:dyDescent="0.25">
      <c r="A910" s="55"/>
      <c r="B910" s="43">
        <v>6.18</v>
      </c>
      <c r="C910" s="43" t="s">
        <v>1229</v>
      </c>
      <c r="D910" s="43" t="s">
        <v>1330</v>
      </c>
      <c r="E910" s="57" t="s">
        <v>1331</v>
      </c>
      <c r="F910" s="43"/>
      <c r="G910" s="57" t="s">
        <v>76</v>
      </c>
      <c r="H910" s="43"/>
      <c r="I910" s="26"/>
      <c r="J910" s="26"/>
      <c r="K910" s="26"/>
    </row>
    <row r="911" spans="1:11" x14ac:dyDescent="0.25">
      <c r="A911" s="55"/>
      <c r="B911" s="43">
        <v>6.18</v>
      </c>
      <c r="C911" s="43" t="s">
        <v>1229</v>
      </c>
      <c r="D911" s="43" t="s">
        <v>1332</v>
      </c>
      <c r="E911" s="57" t="s">
        <v>1333</v>
      </c>
      <c r="F911" s="43"/>
      <c r="G911" s="57" t="s">
        <v>76</v>
      </c>
      <c r="H911" s="43"/>
      <c r="I911" s="26"/>
      <c r="J911" s="26"/>
      <c r="K911" s="26"/>
    </row>
    <row r="912" spans="1:11" x14ac:dyDescent="0.25">
      <c r="A912" s="55"/>
      <c r="B912" s="43">
        <v>6.18</v>
      </c>
      <c r="C912" s="43" t="s">
        <v>1229</v>
      </c>
      <c r="D912" s="43" t="s">
        <v>1334</v>
      </c>
      <c r="E912" s="57" t="s">
        <v>1335</v>
      </c>
      <c r="F912" s="43"/>
      <c r="G912" s="57" t="s">
        <v>76</v>
      </c>
      <c r="H912" s="43"/>
      <c r="I912" s="26"/>
      <c r="J912" s="26"/>
      <c r="K912" s="26"/>
    </row>
    <row r="913" spans="1:11" x14ac:dyDescent="0.25">
      <c r="A913" s="55"/>
      <c r="B913" s="43">
        <v>6.2</v>
      </c>
      <c r="C913" s="43" t="s">
        <v>1336</v>
      </c>
      <c r="D913" s="43" t="s">
        <v>1337</v>
      </c>
      <c r="E913" s="57" t="s">
        <v>1338</v>
      </c>
      <c r="F913" s="43"/>
      <c r="G913" s="57" t="s">
        <v>76</v>
      </c>
      <c r="H913" s="43"/>
      <c r="I913" s="26"/>
      <c r="J913" s="26"/>
      <c r="K913" s="26"/>
    </row>
    <row r="914" spans="1:11" x14ac:dyDescent="0.25">
      <c r="A914" s="55"/>
      <c r="B914" s="43">
        <v>6.2</v>
      </c>
      <c r="C914" s="43" t="s">
        <v>1336</v>
      </c>
      <c r="D914" s="43" t="s">
        <v>1339</v>
      </c>
      <c r="E914" s="57" t="s">
        <v>822</v>
      </c>
      <c r="F914" s="43"/>
      <c r="G914" s="57" t="s">
        <v>76</v>
      </c>
      <c r="H914" s="43"/>
      <c r="I914" s="26"/>
      <c r="J914" s="26"/>
      <c r="K914" s="26"/>
    </row>
    <row r="915" spans="1:11" x14ac:dyDescent="0.25">
      <c r="A915" s="55"/>
      <c r="B915" s="43">
        <v>6.2</v>
      </c>
      <c r="C915" s="43" t="s">
        <v>1336</v>
      </c>
      <c r="D915" s="43" t="s">
        <v>1340</v>
      </c>
      <c r="E915" s="57" t="s">
        <v>1341</v>
      </c>
      <c r="F915" s="43"/>
      <c r="G915" s="57" t="s">
        <v>76</v>
      </c>
      <c r="H915" s="43"/>
      <c r="I915" s="26"/>
      <c r="J915" s="26"/>
      <c r="K915" s="26"/>
    </row>
    <row r="916" spans="1:11" x14ac:dyDescent="0.25">
      <c r="A916" s="55"/>
      <c r="B916" s="43">
        <v>6.2</v>
      </c>
      <c r="C916" s="43" t="s">
        <v>1336</v>
      </c>
      <c r="D916" s="43" t="s">
        <v>1342</v>
      </c>
      <c r="E916" s="57" t="s">
        <v>1343</v>
      </c>
      <c r="F916" s="43"/>
      <c r="G916" s="57" t="s">
        <v>76</v>
      </c>
      <c r="H916" s="43"/>
      <c r="I916" s="26"/>
      <c r="J916" s="26"/>
      <c r="K916" s="26"/>
    </row>
    <row r="917" spans="1:11" x14ac:dyDescent="0.25">
      <c r="A917" s="55"/>
      <c r="B917" s="43">
        <v>6.2</v>
      </c>
      <c r="C917" s="43" t="s">
        <v>1336</v>
      </c>
      <c r="D917" s="43" t="s">
        <v>1344</v>
      </c>
      <c r="E917" s="57" t="s">
        <v>1345</v>
      </c>
      <c r="F917" s="43"/>
      <c r="G917" s="57" t="s">
        <v>76</v>
      </c>
      <c r="H917" s="43"/>
      <c r="I917" s="26"/>
      <c r="J917" s="26"/>
      <c r="K917" s="26"/>
    </row>
    <row r="918" spans="1:11" x14ac:dyDescent="0.25">
      <c r="A918" s="55"/>
      <c r="B918" s="43">
        <v>6.2</v>
      </c>
      <c r="C918" s="43" t="s">
        <v>1336</v>
      </c>
      <c r="D918" s="43" t="s">
        <v>1346</v>
      </c>
      <c r="E918" s="57" t="s">
        <v>1347</v>
      </c>
      <c r="F918" s="43"/>
      <c r="G918" s="57" t="s">
        <v>76</v>
      </c>
      <c r="H918" s="43"/>
      <c r="I918" s="26"/>
      <c r="J918" s="26"/>
      <c r="K918" s="26"/>
    </row>
    <row r="919" spans="1:11" x14ac:dyDescent="0.25">
      <c r="A919" s="55"/>
      <c r="B919" s="43">
        <v>6.2</v>
      </c>
      <c r="C919" s="43" t="s">
        <v>1336</v>
      </c>
      <c r="D919" s="43" t="s">
        <v>1348</v>
      </c>
      <c r="E919" s="57" t="s">
        <v>1349</v>
      </c>
      <c r="F919" s="43"/>
      <c r="G919" s="57" t="s">
        <v>76</v>
      </c>
      <c r="H919" s="43"/>
      <c r="I919" s="26"/>
      <c r="J919" s="26"/>
      <c r="K919" s="26"/>
    </row>
    <row r="920" spans="1:11" x14ac:dyDescent="0.25">
      <c r="A920" s="55"/>
      <c r="B920" s="43">
        <v>6.2</v>
      </c>
      <c r="C920" s="43" t="s">
        <v>1336</v>
      </c>
      <c r="D920" s="43" t="s">
        <v>1350</v>
      </c>
      <c r="E920" s="57" t="s">
        <v>1351</v>
      </c>
      <c r="F920" s="43"/>
      <c r="G920" s="57" t="s">
        <v>76</v>
      </c>
      <c r="H920" s="43"/>
      <c r="I920" s="26"/>
      <c r="J920" s="26"/>
      <c r="K920" s="26"/>
    </row>
    <row r="921" spans="1:11" x14ac:dyDescent="0.25">
      <c r="A921" s="55"/>
      <c r="B921" s="43">
        <v>6.2</v>
      </c>
      <c r="C921" s="43" t="s">
        <v>1336</v>
      </c>
      <c r="D921" s="43" t="s">
        <v>1352</v>
      </c>
      <c r="E921" s="57" t="s">
        <v>1353</v>
      </c>
      <c r="F921" s="43"/>
      <c r="G921" s="57" t="s">
        <v>76</v>
      </c>
      <c r="H921" s="43"/>
      <c r="I921" s="26"/>
      <c r="J921" s="26"/>
      <c r="K921" s="26"/>
    </row>
    <row r="922" spans="1:11" x14ac:dyDescent="0.25">
      <c r="A922" s="55"/>
      <c r="B922" s="43">
        <v>6.2</v>
      </c>
      <c r="C922" s="43" t="s">
        <v>1336</v>
      </c>
      <c r="D922" s="43" t="s">
        <v>1354</v>
      </c>
      <c r="E922" s="57" t="s">
        <v>1355</v>
      </c>
      <c r="F922" s="43"/>
      <c r="G922" s="57" t="s">
        <v>76</v>
      </c>
      <c r="H922" s="70" t="s">
        <v>1356</v>
      </c>
      <c r="I922" s="26"/>
      <c r="J922" s="26"/>
      <c r="K922" s="26"/>
    </row>
    <row r="923" spans="1:11" x14ac:dyDescent="0.25">
      <c r="A923" s="55"/>
      <c r="B923" s="43">
        <v>6.2</v>
      </c>
      <c r="C923" s="43" t="s">
        <v>1336</v>
      </c>
      <c r="D923" s="43" t="s">
        <v>1357</v>
      </c>
      <c r="E923" s="57" t="s">
        <v>1358</v>
      </c>
      <c r="F923" s="43"/>
      <c r="G923" s="57" t="s">
        <v>76</v>
      </c>
      <c r="H923" s="43"/>
      <c r="I923" s="26"/>
      <c r="J923" s="26"/>
      <c r="K923" s="26"/>
    </row>
    <row r="924" spans="1:11" x14ac:dyDescent="0.25">
      <c r="A924" s="55"/>
      <c r="B924" s="43">
        <v>6.2</v>
      </c>
      <c r="C924" s="43" t="s">
        <v>1336</v>
      </c>
      <c r="D924" s="43" t="s">
        <v>1359</v>
      </c>
      <c r="E924" s="57" t="s">
        <v>1360</v>
      </c>
      <c r="F924" s="43"/>
      <c r="G924" s="57" t="s">
        <v>76</v>
      </c>
      <c r="H924" s="43"/>
      <c r="I924" s="26"/>
      <c r="J924" s="26"/>
      <c r="K924" s="26"/>
    </row>
    <row r="925" spans="1:11" x14ac:dyDescent="0.25">
      <c r="A925" s="55"/>
      <c r="B925" s="43">
        <v>6.2</v>
      </c>
      <c r="C925" s="43" t="s">
        <v>1336</v>
      </c>
      <c r="D925" s="43" t="s">
        <v>1361</v>
      </c>
      <c r="E925" s="57" t="s">
        <v>1362</v>
      </c>
      <c r="F925" s="43"/>
      <c r="G925" s="57" t="s">
        <v>76</v>
      </c>
      <c r="H925" s="43"/>
      <c r="I925" s="26"/>
      <c r="J925" s="26"/>
      <c r="K925" s="26"/>
    </row>
    <row r="926" spans="1:11" ht="15.75" x14ac:dyDescent="0.25">
      <c r="A926" s="55"/>
      <c r="B926" s="43">
        <v>6.2</v>
      </c>
      <c r="C926" s="43" t="s">
        <v>1336</v>
      </c>
      <c r="D926" s="43" t="s">
        <v>1363</v>
      </c>
      <c r="E926" s="57" t="s">
        <v>1364</v>
      </c>
      <c r="F926" s="43"/>
      <c r="G926" s="57" t="s">
        <v>76</v>
      </c>
      <c r="H926" s="69">
        <v>185663</v>
      </c>
      <c r="I926" s="26"/>
      <c r="J926" s="26"/>
      <c r="K926" s="26"/>
    </row>
    <row r="927" spans="1:11" x14ac:dyDescent="0.25">
      <c r="A927" s="55"/>
      <c r="B927" s="43">
        <v>6.2</v>
      </c>
      <c r="C927" s="43" t="s">
        <v>1336</v>
      </c>
      <c r="D927" s="43" t="s">
        <v>1365</v>
      </c>
      <c r="E927" s="57" t="s">
        <v>1366</v>
      </c>
      <c r="F927" s="43"/>
      <c r="G927" s="57" t="s">
        <v>76</v>
      </c>
      <c r="H927" s="43"/>
      <c r="I927" s="26"/>
      <c r="J927" s="26"/>
      <c r="K927" s="26"/>
    </row>
    <row r="928" spans="1:11" x14ac:dyDescent="0.25">
      <c r="A928" s="55"/>
      <c r="B928" s="43">
        <v>6.2</v>
      </c>
      <c r="C928" s="43" t="s">
        <v>1336</v>
      </c>
      <c r="D928" s="43" t="s">
        <v>1367</v>
      </c>
      <c r="E928" s="57" t="s">
        <v>1368</v>
      </c>
      <c r="F928" s="43"/>
      <c r="G928" s="57" t="s">
        <v>76</v>
      </c>
      <c r="H928" s="43"/>
      <c r="I928" s="26"/>
      <c r="J928" s="26"/>
      <c r="K928" s="26"/>
    </row>
    <row r="929" spans="1:11" x14ac:dyDescent="0.25">
      <c r="A929" s="55"/>
      <c r="B929" s="43">
        <v>6.2</v>
      </c>
      <c r="C929" s="43" t="s">
        <v>1336</v>
      </c>
      <c r="D929" s="43" t="s">
        <v>1369</v>
      </c>
      <c r="E929" s="57" t="s">
        <v>1370</v>
      </c>
      <c r="F929" s="43"/>
      <c r="G929" s="57" t="s">
        <v>76</v>
      </c>
      <c r="H929" s="43"/>
      <c r="I929" s="26"/>
      <c r="J929" s="26"/>
      <c r="K929" s="26"/>
    </row>
    <row r="930" spans="1:11" x14ac:dyDescent="0.25">
      <c r="A930" s="55"/>
      <c r="B930" s="43">
        <v>6.2</v>
      </c>
      <c r="C930" s="43" t="s">
        <v>1336</v>
      </c>
      <c r="D930" s="43" t="s">
        <v>1371</v>
      </c>
      <c r="E930" s="57" t="s">
        <v>1372</v>
      </c>
      <c r="F930" s="43"/>
      <c r="G930" s="57" t="s">
        <v>76</v>
      </c>
      <c r="H930" s="43"/>
      <c r="I930" s="26"/>
      <c r="J930" s="26"/>
      <c r="K930" s="26"/>
    </row>
    <row r="931" spans="1:11" x14ac:dyDescent="0.25">
      <c r="A931" s="55"/>
      <c r="B931" s="43">
        <v>6.2</v>
      </c>
      <c r="C931" s="43" t="s">
        <v>1336</v>
      </c>
      <c r="D931" s="43" t="s">
        <v>1373</v>
      </c>
      <c r="E931" s="57" t="s">
        <v>840</v>
      </c>
      <c r="F931" s="43"/>
      <c r="G931" s="57" t="s">
        <v>76</v>
      </c>
      <c r="H931" s="43"/>
      <c r="I931" s="26"/>
      <c r="J931" s="26"/>
      <c r="K931" s="26"/>
    </row>
    <row r="932" spans="1:11" x14ac:dyDescent="0.25">
      <c r="A932" s="55"/>
      <c r="B932" s="43">
        <v>6.8</v>
      </c>
      <c r="C932" s="43" t="s">
        <v>950</v>
      </c>
      <c r="D932" s="44" t="s">
        <v>1374</v>
      </c>
      <c r="E932" s="57" t="s">
        <v>957</v>
      </c>
      <c r="F932" s="54"/>
      <c r="G932" s="57" t="s">
        <v>76</v>
      </c>
      <c r="H932" s="44"/>
      <c r="I932" s="26"/>
      <c r="J932" s="26"/>
      <c r="K932" s="26"/>
    </row>
    <row r="933" spans="1:11" x14ac:dyDescent="0.25">
      <c r="A933" s="55"/>
      <c r="B933" s="43">
        <v>6.8</v>
      </c>
      <c r="C933" s="43" t="s">
        <v>950</v>
      </c>
      <c r="D933" s="44" t="s">
        <v>1375</v>
      </c>
      <c r="E933" s="57" t="s">
        <v>1376</v>
      </c>
      <c r="F933" s="54"/>
      <c r="G933" s="57" t="s">
        <v>76</v>
      </c>
      <c r="H933" s="44"/>
      <c r="I933" s="26"/>
      <c r="J933" s="26"/>
      <c r="K933" s="26"/>
    </row>
    <row r="934" spans="1:11" x14ac:dyDescent="0.25">
      <c r="A934" s="55"/>
      <c r="B934" s="43">
        <v>6.8</v>
      </c>
      <c r="C934" s="43" t="s">
        <v>950</v>
      </c>
      <c r="D934" s="43" t="s">
        <v>1377</v>
      </c>
      <c r="E934" s="57" t="s">
        <v>1378</v>
      </c>
      <c r="F934" s="43"/>
      <c r="G934" s="57" t="s">
        <v>126</v>
      </c>
      <c r="H934" s="44"/>
      <c r="I934" s="74">
        <v>43077</v>
      </c>
      <c r="J934" s="26"/>
      <c r="K934" s="26"/>
    </row>
    <row r="935" spans="1:11" x14ac:dyDescent="0.25">
      <c r="A935" s="55"/>
      <c r="B935" s="43">
        <v>6.8</v>
      </c>
      <c r="C935" s="43" t="s">
        <v>950</v>
      </c>
      <c r="D935" s="43" t="s">
        <v>1379</v>
      </c>
      <c r="E935" s="57" t="s">
        <v>1380</v>
      </c>
      <c r="F935" s="43"/>
      <c r="G935" s="57" t="s">
        <v>76</v>
      </c>
      <c r="H935" s="67">
        <v>182162</v>
      </c>
      <c r="I935" s="26"/>
      <c r="J935" s="26"/>
      <c r="K935" s="26"/>
    </row>
    <row r="936" spans="1:11" x14ac:dyDescent="0.25">
      <c r="A936" s="55"/>
      <c r="B936" s="43">
        <v>6.8</v>
      </c>
      <c r="C936" s="43" t="s">
        <v>950</v>
      </c>
      <c r="D936" s="43" t="s">
        <v>1381</v>
      </c>
      <c r="E936" s="57" t="s">
        <v>1382</v>
      </c>
      <c r="F936" s="43" t="s">
        <v>1383</v>
      </c>
      <c r="G936" s="57" t="s">
        <v>126</v>
      </c>
      <c r="H936" s="44"/>
      <c r="I936" s="74">
        <v>43077</v>
      </c>
      <c r="J936" s="26"/>
      <c r="K936" s="26"/>
    </row>
    <row r="937" spans="1:11" x14ac:dyDescent="0.25">
      <c r="A937" s="55"/>
      <c r="B937" s="43">
        <v>6.8</v>
      </c>
      <c r="C937" s="43" t="s">
        <v>950</v>
      </c>
      <c r="D937" s="43" t="s">
        <v>1384</v>
      </c>
      <c r="E937" s="57" t="s">
        <v>1385</v>
      </c>
      <c r="F937" s="43"/>
      <c r="G937" s="57" t="s">
        <v>76</v>
      </c>
      <c r="H937" s="67">
        <v>182444</v>
      </c>
      <c r="I937" s="26"/>
      <c r="J937" s="26"/>
      <c r="K937" s="26"/>
    </row>
    <row r="938" spans="1:11" x14ac:dyDescent="0.25">
      <c r="A938" s="55"/>
      <c r="B938" s="43">
        <v>6.8</v>
      </c>
      <c r="C938" s="43" t="s">
        <v>950</v>
      </c>
      <c r="D938" s="43" t="s">
        <v>1386</v>
      </c>
      <c r="E938" s="57" t="s">
        <v>1387</v>
      </c>
      <c r="F938" s="43" t="s">
        <v>1383</v>
      </c>
      <c r="G938" s="57" t="s">
        <v>126</v>
      </c>
      <c r="H938" s="44"/>
      <c r="I938" s="74">
        <v>43077</v>
      </c>
      <c r="J938" s="26"/>
      <c r="K938" s="26"/>
    </row>
    <row r="939" spans="1:11" x14ac:dyDescent="0.25">
      <c r="A939" s="55"/>
      <c r="B939" s="43">
        <v>6.8</v>
      </c>
      <c r="C939" s="43" t="s">
        <v>950</v>
      </c>
      <c r="D939" s="44" t="s">
        <v>1388</v>
      </c>
      <c r="E939" s="57" t="s">
        <v>1389</v>
      </c>
      <c r="F939" s="54"/>
      <c r="G939" s="57" t="s">
        <v>76</v>
      </c>
      <c r="H939" s="67"/>
      <c r="I939" s="26"/>
      <c r="J939" s="26"/>
      <c r="K939" s="26"/>
    </row>
    <row r="940" spans="1:11" x14ac:dyDescent="0.25">
      <c r="A940" s="55"/>
      <c r="B940" s="43">
        <v>6.8</v>
      </c>
      <c r="C940" s="43" t="s">
        <v>950</v>
      </c>
      <c r="D940" s="44" t="s">
        <v>1390</v>
      </c>
      <c r="E940" s="57" t="s">
        <v>959</v>
      </c>
      <c r="F940" s="54"/>
      <c r="G940" s="57" t="s">
        <v>76</v>
      </c>
      <c r="H940" s="67" t="s">
        <v>1391</v>
      </c>
      <c r="I940" s="26"/>
      <c r="J940" s="26"/>
      <c r="K940" s="26"/>
    </row>
    <row r="941" spans="1:11" x14ac:dyDescent="0.25">
      <c r="A941" s="55"/>
      <c r="B941" s="43">
        <v>7</v>
      </c>
      <c r="C941" s="43" t="s">
        <v>319</v>
      </c>
      <c r="D941" s="43" t="s">
        <v>1392</v>
      </c>
      <c r="E941" s="57" t="s">
        <v>1393</v>
      </c>
      <c r="F941" s="43"/>
      <c r="G941" s="57" t="s">
        <v>76</v>
      </c>
      <c r="H941" s="43"/>
      <c r="I941" s="26"/>
      <c r="J941" s="26"/>
      <c r="K941" s="26"/>
    </row>
    <row r="942" spans="1:11" x14ac:dyDescent="0.25">
      <c r="A942" s="55"/>
      <c r="B942" s="43">
        <v>7</v>
      </c>
      <c r="C942" s="43" t="s">
        <v>319</v>
      </c>
      <c r="D942" s="43" t="s">
        <v>1394</v>
      </c>
      <c r="E942" s="57" t="s">
        <v>1395</v>
      </c>
      <c r="F942" s="43"/>
      <c r="G942" s="57" t="s">
        <v>76</v>
      </c>
      <c r="H942" s="43"/>
      <c r="I942" s="26"/>
      <c r="J942" s="26"/>
      <c r="K942" s="26"/>
    </row>
    <row r="943" spans="1:11" x14ac:dyDescent="0.25">
      <c r="A943" s="55"/>
      <c r="B943" s="43">
        <v>7</v>
      </c>
      <c r="C943" s="43" t="s">
        <v>319</v>
      </c>
      <c r="D943" s="43" t="s">
        <v>1396</v>
      </c>
      <c r="E943" s="57" t="s">
        <v>345</v>
      </c>
      <c r="F943" s="43"/>
      <c r="G943" s="57" t="s">
        <v>76</v>
      </c>
      <c r="H943" s="43"/>
      <c r="I943" s="26"/>
      <c r="J943" s="26"/>
      <c r="K943" s="26"/>
    </row>
    <row r="944" spans="1:11" x14ac:dyDescent="0.25">
      <c r="A944" s="55"/>
      <c r="B944" s="43">
        <v>7</v>
      </c>
      <c r="C944" s="43" t="s">
        <v>319</v>
      </c>
      <c r="D944" s="43" t="s">
        <v>1397</v>
      </c>
      <c r="E944" s="57" t="s">
        <v>343</v>
      </c>
      <c r="F944" s="43"/>
      <c r="G944" s="57" t="s">
        <v>76</v>
      </c>
      <c r="H944" s="43"/>
      <c r="I944" s="26"/>
      <c r="J944" s="26"/>
      <c r="K944" s="26"/>
    </row>
    <row r="945" spans="1:11" x14ac:dyDescent="0.25">
      <c r="A945" s="55"/>
      <c r="B945" s="43">
        <v>7</v>
      </c>
      <c r="C945" s="43" t="s">
        <v>319</v>
      </c>
      <c r="D945" s="43" t="s">
        <v>1398</v>
      </c>
      <c r="E945" s="57" t="s">
        <v>1399</v>
      </c>
      <c r="F945" s="43"/>
      <c r="G945" s="57" t="s">
        <v>76</v>
      </c>
      <c r="H945" s="43"/>
      <c r="I945" s="26"/>
      <c r="J945" s="26"/>
      <c r="K945" s="26"/>
    </row>
    <row r="946" spans="1:11" x14ac:dyDescent="0.25">
      <c r="A946" s="55"/>
      <c r="B946" s="43">
        <v>7</v>
      </c>
      <c r="C946" s="43" t="s">
        <v>319</v>
      </c>
      <c r="D946" s="43" t="s">
        <v>1400</v>
      </c>
      <c r="E946" s="57" t="s">
        <v>1401</v>
      </c>
      <c r="F946" s="43"/>
      <c r="G946" s="57" t="s">
        <v>76</v>
      </c>
      <c r="H946" s="59" t="s">
        <v>1402</v>
      </c>
      <c r="I946" s="26"/>
      <c r="J946" s="26"/>
      <c r="K946" s="26"/>
    </row>
    <row r="947" spans="1:11" x14ac:dyDescent="0.25">
      <c r="A947" s="55"/>
      <c r="B947" s="43">
        <v>7</v>
      </c>
      <c r="C947" s="43" t="s">
        <v>319</v>
      </c>
      <c r="D947" s="43" t="s">
        <v>1403</v>
      </c>
      <c r="E947" s="57" t="s">
        <v>1404</v>
      </c>
      <c r="F947" s="43"/>
      <c r="G947" s="57" t="s">
        <v>76</v>
      </c>
      <c r="H947" s="26"/>
      <c r="I947" s="26"/>
      <c r="J947" s="26"/>
      <c r="K947" s="26"/>
    </row>
    <row r="948" spans="1:11" x14ac:dyDescent="0.25">
      <c r="A948" s="55"/>
      <c r="B948" s="43">
        <v>7</v>
      </c>
      <c r="C948" s="43" t="s">
        <v>319</v>
      </c>
      <c r="D948" s="43" t="s">
        <v>1405</v>
      </c>
      <c r="E948" s="57" t="s">
        <v>1406</v>
      </c>
      <c r="F948" s="43" t="s">
        <v>1407</v>
      </c>
      <c r="G948" s="57" t="s">
        <v>126</v>
      </c>
      <c r="H948" s="43"/>
      <c r="I948" s="74">
        <v>43077</v>
      </c>
      <c r="J948" s="26"/>
      <c r="K948" s="26"/>
    </row>
    <row r="949" spans="1:11" x14ac:dyDescent="0.25">
      <c r="A949" s="55"/>
      <c r="B949" s="43">
        <v>7</v>
      </c>
      <c r="C949" s="43" t="s">
        <v>319</v>
      </c>
      <c r="D949" s="43" t="s">
        <v>1408</v>
      </c>
      <c r="E949" s="57" t="s">
        <v>369</v>
      </c>
      <c r="F949" s="43"/>
      <c r="G949" s="57" t="s">
        <v>76</v>
      </c>
      <c r="H949" s="43"/>
      <c r="I949" s="26"/>
      <c r="J949" s="26"/>
      <c r="K949" s="26"/>
    </row>
    <row r="950" spans="1:11" x14ac:dyDescent="0.25">
      <c r="A950" s="55"/>
      <c r="B950" s="43">
        <v>7</v>
      </c>
      <c r="C950" s="43" t="s">
        <v>319</v>
      </c>
      <c r="D950" s="43" t="s">
        <v>1409</v>
      </c>
      <c r="E950" s="57" t="s">
        <v>1410</v>
      </c>
      <c r="F950" s="43"/>
      <c r="G950" s="57" t="s">
        <v>76</v>
      </c>
      <c r="H950" s="43"/>
      <c r="I950" s="26"/>
      <c r="J950" s="26"/>
      <c r="K950" s="26"/>
    </row>
    <row r="951" spans="1:11" x14ac:dyDescent="0.25">
      <c r="A951" s="55"/>
      <c r="B951" s="43">
        <v>7</v>
      </c>
      <c r="C951" s="43" t="s">
        <v>319</v>
      </c>
      <c r="D951" s="43" t="s">
        <v>1411</v>
      </c>
      <c r="E951" s="57" t="s">
        <v>1412</v>
      </c>
      <c r="F951" s="43"/>
      <c r="G951" s="57" t="s">
        <v>76</v>
      </c>
      <c r="H951" s="43"/>
      <c r="I951" s="26"/>
      <c r="J951" s="26"/>
      <c r="K951" s="26"/>
    </row>
    <row r="952" spans="1:11" x14ac:dyDescent="0.25">
      <c r="A952" s="55"/>
      <c r="B952" s="43">
        <v>7</v>
      </c>
      <c r="C952" s="43" t="s">
        <v>319</v>
      </c>
      <c r="D952" s="43" t="s">
        <v>1413</v>
      </c>
      <c r="E952" s="57" t="s">
        <v>1414</v>
      </c>
      <c r="F952" s="43"/>
      <c r="G952" s="57" t="s">
        <v>76</v>
      </c>
      <c r="H952" s="43"/>
      <c r="I952" s="26"/>
      <c r="J952" s="26"/>
      <c r="K952" s="26"/>
    </row>
    <row r="953" spans="1:11" x14ac:dyDescent="0.25">
      <c r="A953" s="55"/>
      <c r="B953" s="43">
        <v>9.11</v>
      </c>
      <c r="C953" s="43" t="s">
        <v>1415</v>
      </c>
      <c r="D953" s="43" t="s">
        <v>1416</v>
      </c>
      <c r="E953" s="57" t="s">
        <v>1417</v>
      </c>
      <c r="F953" s="43"/>
      <c r="G953" s="57" t="s">
        <v>76</v>
      </c>
      <c r="H953" s="43"/>
      <c r="I953" s="26"/>
      <c r="J953" s="26"/>
      <c r="K953" s="26"/>
    </row>
    <row r="954" spans="1:11" x14ac:dyDescent="0.25">
      <c r="A954" s="55"/>
      <c r="B954" s="43">
        <v>9.11</v>
      </c>
      <c r="C954" s="43" t="s">
        <v>1415</v>
      </c>
      <c r="D954" s="43" t="s">
        <v>1418</v>
      </c>
      <c r="E954" s="57" t="s">
        <v>1419</v>
      </c>
      <c r="F954" s="43"/>
      <c r="G954" s="57" t="s">
        <v>76</v>
      </c>
      <c r="H954" s="43"/>
      <c r="I954" s="26"/>
      <c r="J954" s="26"/>
      <c r="K954" s="26"/>
    </row>
    <row r="955" spans="1:11" x14ac:dyDescent="0.25">
      <c r="A955" s="55"/>
      <c r="B955" s="43">
        <v>9.11</v>
      </c>
      <c r="C955" s="43" t="s">
        <v>1415</v>
      </c>
      <c r="D955" s="43" t="s">
        <v>1420</v>
      </c>
      <c r="E955" s="57" t="s">
        <v>1421</v>
      </c>
      <c r="F955" s="43"/>
      <c r="G955" s="57" t="s">
        <v>76</v>
      </c>
      <c r="H955" s="43"/>
      <c r="I955" s="26"/>
      <c r="J955" s="26"/>
      <c r="K955" s="26"/>
    </row>
    <row r="956" spans="1:11" x14ac:dyDescent="0.25">
      <c r="A956" s="55"/>
      <c r="B956" s="43">
        <v>9.11</v>
      </c>
      <c r="C956" s="43" t="s">
        <v>1415</v>
      </c>
      <c r="D956" s="43" t="s">
        <v>1422</v>
      </c>
      <c r="E956" s="57" t="s">
        <v>1423</v>
      </c>
      <c r="F956" s="43"/>
      <c r="G956" s="57" t="s">
        <v>76</v>
      </c>
      <c r="H956" s="43"/>
      <c r="I956" s="26"/>
      <c r="J956" s="26"/>
      <c r="K956" s="26"/>
    </row>
    <row r="957" spans="1:11" x14ac:dyDescent="0.25">
      <c r="A957" s="55"/>
      <c r="B957" s="43">
        <v>9.11</v>
      </c>
      <c r="C957" s="43" t="s">
        <v>1415</v>
      </c>
      <c r="D957" s="43" t="s">
        <v>1424</v>
      </c>
      <c r="E957" s="57" t="s">
        <v>1425</v>
      </c>
      <c r="F957" s="43"/>
      <c r="G957" s="57" t="s">
        <v>76</v>
      </c>
      <c r="H957" s="43"/>
      <c r="I957" s="26"/>
      <c r="J957" s="26"/>
      <c r="K957" s="26"/>
    </row>
    <row r="958" spans="1:11" x14ac:dyDescent="0.25">
      <c r="A958" s="55"/>
      <c r="B958" s="43">
        <v>9.11</v>
      </c>
      <c r="C958" s="43" t="s">
        <v>1415</v>
      </c>
      <c r="D958" s="43" t="s">
        <v>1426</v>
      </c>
      <c r="E958" s="57" t="s">
        <v>1427</v>
      </c>
      <c r="F958" s="43"/>
      <c r="G958" s="57" t="s">
        <v>76</v>
      </c>
      <c r="H958" s="43"/>
      <c r="I958" s="26"/>
      <c r="J958" s="26"/>
      <c r="K958" s="26"/>
    </row>
    <row r="959" spans="1:11" x14ac:dyDescent="0.25">
      <c r="A959" s="55"/>
      <c r="B959" s="43">
        <v>9.11</v>
      </c>
      <c r="C959" s="43" t="s">
        <v>1415</v>
      </c>
      <c r="D959" s="43" t="s">
        <v>1428</v>
      </c>
      <c r="E959" s="57" t="s">
        <v>1429</v>
      </c>
      <c r="F959" s="43"/>
      <c r="G959" s="57" t="s">
        <v>76</v>
      </c>
      <c r="H959" s="43"/>
      <c r="I959" s="26"/>
      <c r="J959" s="26"/>
      <c r="K959" s="26"/>
    </row>
    <row r="960" spans="1:11" x14ac:dyDescent="0.25">
      <c r="A960" s="55"/>
      <c r="B960" s="43">
        <v>9.11</v>
      </c>
      <c r="C960" s="43" t="s">
        <v>1415</v>
      </c>
      <c r="D960" s="43" t="s">
        <v>1430</v>
      </c>
      <c r="E960" s="57" t="s">
        <v>1431</v>
      </c>
      <c r="F960" s="43"/>
      <c r="G960" s="57" t="s">
        <v>76</v>
      </c>
      <c r="H960" s="43"/>
      <c r="I960" s="26"/>
      <c r="J960" s="26"/>
      <c r="K960" s="26"/>
    </row>
    <row r="961" spans="1:11" x14ac:dyDescent="0.25">
      <c r="A961" s="55"/>
      <c r="B961" s="43">
        <v>9.11</v>
      </c>
      <c r="C961" s="43" t="s">
        <v>1415</v>
      </c>
      <c r="D961" s="43" t="s">
        <v>1432</v>
      </c>
      <c r="E961" s="57" t="s">
        <v>1433</v>
      </c>
      <c r="F961" s="43"/>
      <c r="G961" s="57" t="s">
        <v>76</v>
      </c>
      <c r="H961" s="43"/>
      <c r="I961" s="26"/>
      <c r="J961" s="26"/>
      <c r="K961" s="26"/>
    </row>
    <row r="962" spans="1:11" x14ac:dyDescent="0.25">
      <c r="A962" s="55"/>
      <c r="B962" s="43">
        <v>9.11</v>
      </c>
      <c r="C962" s="43" t="s">
        <v>1415</v>
      </c>
      <c r="D962" s="43" t="s">
        <v>1434</v>
      </c>
      <c r="E962" s="57" t="s">
        <v>1435</v>
      </c>
      <c r="F962" s="43"/>
      <c r="G962" s="57" t="s">
        <v>76</v>
      </c>
      <c r="H962" s="43"/>
      <c r="I962" s="26"/>
      <c r="J962" s="26"/>
      <c r="K962" s="26"/>
    </row>
    <row r="963" spans="1:11" x14ac:dyDescent="0.25">
      <c r="A963" s="55"/>
      <c r="B963" s="43">
        <v>9.11</v>
      </c>
      <c r="C963" s="43" t="s">
        <v>1415</v>
      </c>
      <c r="D963" s="43" t="s">
        <v>1436</v>
      </c>
      <c r="E963" s="57" t="s">
        <v>1437</v>
      </c>
      <c r="F963" s="43"/>
      <c r="G963" s="57" t="s">
        <v>76</v>
      </c>
      <c r="H963" s="43"/>
      <c r="I963" s="26"/>
      <c r="J963" s="26"/>
      <c r="K963" s="26"/>
    </row>
    <row r="964" spans="1:11" x14ac:dyDescent="0.25">
      <c r="A964" s="55"/>
      <c r="B964" s="43">
        <v>9.11</v>
      </c>
      <c r="C964" s="43" t="s">
        <v>1415</v>
      </c>
      <c r="D964" s="43" t="s">
        <v>1438</v>
      </c>
      <c r="E964" s="57" t="s">
        <v>1439</v>
      </c>
      <c r="F964" s="43"/>
      <c r="G964" s="57" t="s">
        <v>76</v>
      </c>
      <c r="H964" s="43"/>
      <c r="I964" s="26"/>
      <c r="J964" s="26"/>
      <c r="K964" s="26"/>
    </row>
    <row r="965" spans="1:11" x14ac:dyDescent="0.25">
      <c r="A965" s="55"/>
      <c r="B965" s="43">
        <v>9.11</v>
      </c>
      <c r="C965" s="43" t="s">
        <v>1415</v>
      </c>
      <c r="D965" s="43" t="s">
        <v>1440</v>
      </c>
      <c r="E965" s="57" t="s">
        <v>1441</v>
      </c>
      <c r="F965" s="43"/>
      <c r="G965" s="57" t="s">
        <v>76</v>
      </c>
      <c r="H965" s="43"/>
      <c r="I965" s="26"/>
      <c r="J965" s="26"/>
      <c r="K965" s="26"/>
    </row>
    <row r="966" spans="1:11" x14ac:dyDescent="0.25">
      <c r="A966" s="55"/>
      <c r="B966" s="43">
        <v>9.11</v>
      </c>
      <c r="C966" s="43" t="s">
        <v>1415</v>
      </c>
      <c r="D966" s="43" t="s">
        <v>1442</v>
      </c>
      <c r="E966" s="57" t="s">
        <v>1443</v>
      </c>
      <c r="F966" s="43"/>
      <c r="G966" s="57" t="s">
        <v>76</v>
      </c>
      <c r="H966" s="43"/>
      <c r="I966" s="26"/>
      <c r="J966" s="26"/>
      <c r="K966" s="26"/>
    </row>
    <row r="967" spans="1:11" x14ac:dyDescent="0.25">
      <c r="A967" s="55"/>
      <c r="B967" s="43">
        <v>9.11</v>
      </c>
      <c r="C967" s="43" t="s">
        <v>1415</v>
      </c>
      <c r="D967" s="43" t="s">
        <v>1444</v>
      </c>
      <c r="E967" s="57" t="s">
        <v>1445</v>
      </c>
      <c r="F967" s="43"/>
      <c r="G967" s="57" t="s">
        <v>76</v>
      </c>
      <c r="H967" s="43"/>
      <c r="I967" s="26"/>
      <c r="J967" s="26"/>
      <c r="K967" s="26"/>
    </row>
    <row r="968" spans="1:11" x14ac:dyDescent="0.25">
      <c r="A968" s="55"/>
      <c r="B968" s="43">
        <v>9.11</v>
      </c>
      <c r="C968" s="43" t="s">
        <v>1415</v>
      </c>
      <c r="D968" s="43" t="s">
        <v>1446</v>
      </c>
      <c r="E968" s="57" t="s">
        <v>1447</v>
      </c>
      <c r="F968" s="43"/>
      <c r="G968" s="57" t="s">
        <v>76</v>
      </c>
      <c r="H968" s="43"/>
      <c r="I968" s="26"/>
      <c r="J968" s="26"/>
      <c r="K968" s="26"/>
    </row>
    <row r="969" spans="1:11" x14ac:dyDescent="0.25">
      <c r="A969" s="55"/>
      <c r="B969" s="43">
        <v>9.11</v>
      </c>
      <c r="C969" s="43" t="s">
        <v>1415</v>
      </c>
      <c r="D969" s="43" t="s">
        <v>1448</v>
      </c>
      <c r="E969" s="57" t="s">
        <v>1449</v>
      </c>
      <c r="F969" s="43"/>
      <c r="G969" s="57" t="s">
        <v>76</v>
      </c>
      <c r="H969" s="43"/>
      <c r="I969" s="26"/>
      <c r="J969" s="26"/>
      <c r="K969" s="26"/>
    </row>
    <row r="970" spans="1:11" x14ac:dyDescent="0.25">
      <c r="A970" s="55"/>
      <c r="B970" s="43">
        <v>9.11</v>
      </c>
      <c r="C970" s="43" t="s">
        <v>1415</v>
      </c>
      <c r="D970" s="43" t="s">
        <v>1450</v>
      </c>
      <c r="E970" s="57" t="s">
        <v>1451</v>
      </c>
      <c r="F970" s="43"/>
      <c r="G970" s="57" t="s">
        <v>76</v>
      </c>
      <c r="H970" s="43"/>
      <c r="I970" s="26"/>
      <c r="J970" s="26"/>
      <c r="K970" s="26"/>
    </row>
    <row r="971" spans="1:11" x14ac:dyDescent="0.25">
      <c r="A971" s="55"/>
      <c r="B971" s="43">
        <v>9.11</v>
      </c>
      <c r="C971" s="43" t="s">
        <v>1415</v>
      </c>
      <c r="D971" s="43" t="s">
        <v>1452</v>
      </c>
      <c r="E971" s="57" t="s">
        <v>1453</v>
      </c>
      <c r="F971" s="43"/>
      <c r="G971" s="57" t="s">
        <v>76</v>
      </c>
      <c r="H971" s="43"/>
      <c r="I971" s="26"/>
      <c r="J971" s="26"/>
      <c r="K971" s="26"/>
    </row>
    <row r="972" spans="1:11" x14ac:dyDescent="0.25">
      <c r="A972" s="55"/>
      <c r="B972" s="43">
        <v>9.11</v>
      </c>
      <c r="C972" s="43" t="s">
        <v>1415</v>
      </c>
      <c r="D972" s="43" t="s">
        <v>1454</v>
      </c>
      <c r="E972" s="57" t="s">
        <v>1455</v>
      </c>
      <c r="F972" s="43"/>
      <c r="G972" s="57" t="s">
        <v>76</v>
      </c>
      <c r="H972" s="43"/>
      <c r="I972" s="26"/>
      <c r="J972" s="26"/>
      <c r="K972" s="26"/>
    </row>
    <row r="973" spans="1:11" x14ac:dyDescent="0.25">
      <c r="A973" s="55"/>
      <c r="B973" s="43">
        <v>9.11</v>
      </c>
      <c r="C973" s="43" t="s">
        <v>1415</v>
      </c>
      <c r="D973" s="43" t="s">
        <v>1454</v>
      </c>
      <c r="E973" s="57" t="s">
        <v>1456</v>
      </c>
      <c r="F973" s="43"/>
      <c r="G973" s="57" t="s">
        <v>76</v>
      </c>
      <c r="H973" s="43"/>
      <c r="I973" s="26"/>
      <c r="J973" s="26"/>
      <c r="K973" s="26"/>
    </row>
    <row r="974" spans="1:11" x14ac:dyDescent="0.25">
      <c r="A974" s="55"/>
      <c r="B974" s="43">
        <v>9.11</v>
      </c>
      <c r="C974" s="43" t="s">
        <v>1415</v>
      </c>
      <c r="D974" s="43" t="s">
        <v>1457</v>
      </c>
      <c r="E974" s="57" t="s">
        <v>1458</v>
      </c>
      <c r="F974" s="43"/>
      <c r="G974" s="57" t="s">
        <v>76</v>
      </c>
      <c r="H974" s="43"/>
      <c r="I974" s="26"/>
      <c r="J974" s="26"/>
      <c r="K974" s="26"/>
    </row>
    <row r="975" spans="1:11" x14ac:dyDescent="0.25">
      <c r="A975" s="55"/>
      <c r="B975" s="43">
        <v>9.11</v>
      </c>
      <c r="C975" s="43" t="s">
        <v>1415</v>
      </c>
      <c r="D975" s="43" t="s">
        <v>1459</v>
      </c>
      <c r="E975" s="57" t="s">
        <v>1460</v>
      </c>
      <c r="F975" s="43"/>
      <c r="G975" s="57" t="s">
        <v>76</v>
      </c>
      <c r="H975" s="43"/>
      <c r="I975" s="26"/>
      <c r="J975" s="26"/>
      <c r="K975" s="26"/>
    </row>
    <row r="976" spans="1:11" x14ac:dyDescent="0.25">
      <c r="A976" s="55"/>
      <c r="B976" s="43">
        <v>9.11</v>
      </c>
      <c r="C976" s="43" t="s">
        <v>1415</v>
      </c>
      <c r="D976" s="43" t="s">
        <v>1461</v>
      </c>
      <c r="E976" s="57" t="s">
        <v>1462</v>
      </c>
      <c r="F976" s="43"/>
      <c r="G976" s="57" t="s">
        <v>76</v>
      </c>
      <c r="H976" s="43"/>
      <c r="I976" s="26"/>
      <c r="J976" s="26"/>
      <c r="K976" s="26"/>
    </row>
    <row r="977" spans="1:11" x14ac:dyDescent="0.25">
      <c r="A977" s="55"/>
      <c r="B977" s="43">
        <v>9.11</v>
      </c>
      <c r="C977" s="43" t="s">
        <v>1415</v>
      </c>
      <c r="D977" s="43" t="s">
        <v>1463</v>
      </c>
      <c r="E977" s="57" t="s">
        <v>1464</v>
      </c>
      <c r="F977" s="43"/>
      <c r="G977" s="57" t="s">
        <v>76</v>
      </c>
      <c r="H977" s="43"/>
      <c r="I977" s="26"/>
      <c r="J977" s="26"/>
      <c r="K977" s="26"/>
    </row>
    <row r="978" spans="1:11" x14ac:dyDescent="0.25">
      <c r="A978" s="55"/>
      <c r="B978" s="43">
        <v>9.11</v>
      </c>
      <c r="C978" s="43" t="s">
        <v>1415</v>
      </c>
      <c r="D978" s="43" t="s">
        <v>1465</v>
      </c>
      <c r="E978" s="57" t="s">
        <v>1466</v>
      </c>
      <c r="F978" s="43"/>
      <c r="G978" s="57" t="s">
        <v>76</v>
      </c>
      <c r="H978" s="43"/>
      <c r="I978" s="26"/>
      <c r="J978" s="26"/>
      <c r="K978" s="26"/>
    </row>
    <row r="979" spans="1:11" x14ac:dyDescent="0.25">
      <c r="A979" s="55"/>
      <c r="B979" s="43">
        <v>9.11</v>
      </c>
      <c r="C979" s="43" t="s">
        <v>1415</v>
      </c>
      <c r="D979" s="43" t="s">
        <v>1467</v>
      </c>
      <c r="E979" s="57" t="s">
        <v>1468</v>
      </c>
      <c r="F979" s="43"/>
      <c r="G979" s="57" t="s">
        <v>76</v>
      </c>
      <c r="H979" s="43"/>
      <c r="I979" s="26"/>
      <c r="J979" s="26"/>
      <c r="K979" s="26"/>
    </row>
    <row r="980" spans="1:11" x14ac:dyDescent="0.25">
      <c r="A980" s="55"/>
      <c r="B980" s="43">
        <v>9.11</v>
      </c>
      <c r="C980" s="43" t="s">
        <v>1415</v>
      </c>
      <c r="D980" s="43" t="s">
        <v>1469</v>
      </c>
      <c r="E980" s="57" t="s">
        <v>1470</v>
      </c>
      <c r="F980" s="43"/>
      <c r="G980" s="57" t="s">
        <v>76</v>
      </c>
      <c r="H980" s="43"/>
      <c r="I980" s="26"/>
      <c r="J980" s="26"/>
      <c r="K980" s="26"/>
    </row>
    <row r="981" spans="1:11" x14ac:dyDescent="0.25">
      <c r="A981" s="55"/>
      <c r="B981" s="43">
        <v>9.11</v>
      </c>
      <c r="C981" s="43" t="s">
        <v>1415</v>
      </c>
      <c r="D981" s="43" t="s">
        <v>1471</v>
      </c>
      <c r="E981" s="57" t="s">
        <v>1472</v>
      </c>
      <c r="F981" s="43"/>
      <c r="G981" s="57" t="s">
        <v>76</v>
      </c>
      <c r="H981" s="43"/>
      <c r="I981" s="26"/>
      <c r="J981" s="26"/>
      <c r="K981" s="26"/>
    </row>
    <row r="982" spans="1:11" x14ac:dyDescent="0.25">
      <c r="A982" s="55"/>
      <c r="B982" s="43">
        <v>9.11</v>
      </c>
      <c r="C982" s="43" t="s">
        <v>1415</v>
      </c>
      <c r="D982" s="43" t="s">
        <v>1473</v>
      </c>
      <c r="E982" s="57" t="s">
        <v>1474</v>
      </c>
      <c r="F982" s="43"/>
      <c r="G982" s="57" t="s">
        <v>76</v>
      </c>
      <c r="H982" s="43"/>
      <c r="I982" s="26"/>
      <c r="J982" s="26"/>
      <c r="K982" s="26"/>
    </row>
    <row r="983" spans="1:11" x14ac:dyDescent="0.25">
      <c r="A983" s="55"/>
      <c r="B983" s="43">
        <v>9.11</v>
      </c>
      <c r="C983" s="43" t="s">
        <v>1415</v>
      </c>
      <c r="D983" s="43" t="s">
        <v>1475</v>
      </c>
      <c r="E983" s="57" t="s">
        <v>1476</v>
      </c>
      <c r="F983" s="43"/>
      <c r="G983" s="57" t="s">
        <v>76</v>
      </c>
      <c r="H983" s="43"/>
      <c r="I983" s="26"/>
      <c r="J983" s="26"/>
      <c r="K983" s="26"/>
    </row>
    <row r="984" spans="1:11" x14ac:dyDescent="0.25">
      <c r="A984" s="55"/>
      <c r="B984" s="43">
        <v>9.11</v>
      </c>
      <c r="C984" s="43" t="s">
        <v>1415</v>
      </c>
      <c r="D984" s="43" t="s">
        <v>1477</v>
      </c>
      <c r="E984" s="57" t="s">
        <v>1478</v>
      </c>
      <c r="F984" s="43"/>
      <c r="G984" s="57" t="s">
        <v>76</v>
      </c>
      <c r="H984" s="43"/>
      <c r="I984" s="26"/>
      <c r="J984" s="26"/>
      <c r="K984" s="26"/>
    </row>
    <row r="985" spans="1:11" x14ac:dyDescent="0.25">
      <c r="A985" s="55"/>
      <c r="B985" s="43">
        <v>9.11</v>
      </c>
      <c r="C985" s="43" t="s">
        <v>1415</v>
      </c>
      <c r="D985" s="43" t="s">
        <v>1479</v>
      </c>
      <c r="E985" s="57" t="s">
        <v>1480</v>
      </c>
      <c r="F985" s="43"/>
      <c r="G985" s="57" t="s">
        <v>76</v>
      </c>
      <c r="H985" s="43"/>
      <c r="I985" s="26"/>
      <c r="J985" s="26"/>
      <c r="K985" s="26"/>
    </row>
    <row r="986" spans="1:11" x14ac:dyDescent="0.25">
      <c r="A986" s="55"/>
      <c r="B986" s="43">
        <v>9.11</v>
      </c>
      <c r="C986" s="43" t="s">
        <v>1415</v>
      </c>
      <c r="D986" s="43" t="s">
        <v>1479</v>
      </c>
      <c r="E986" s="57" t="s">
        <v>1481</v>
      </c>
      <c r="F986" s="43"/>
      <c r="G986" s="57" t="s">
        <v>76</v>
      </c>
      <c r="H986" s="43"/>
      <c r="I986" s="26"/>
      <c r="J986" s="26"/>
      <c r="K986" s="26"/>
    </row>
    <row r="987" spans="1:11" x14ac:dyDescent="0.25">
      <c r="A987" s="55"/>
      <c r="B987" s="43">
        <v>9.11</v>
      </c>
      <c r="C987" s="43" t="s">
        <v>1415</v>
      </c>
      <c r="D987" s="43" t="s">
        <v>1482</v>
      </c>
      <c r="E987" s="57" t="s">
        <v>1483</v>
      </c>
      <c r="F987" s="43"/>
      <c r="G987" s="57" t="s">
        <v>76</v>
      </c>
      <c r="H987" s="43"/>
      <c r="I987" s="26"/>
      <c r="J987" s="26"/>
      <c r="K987" s="26"/>
    </row>
    <row r="988" spans="1:11" x14ac:dyDescent="0.25">
      <c r="A988" s="55"/>
      <c r="B988" s="43">
        <v>9.11</v>
      </c>
      <c r="C988" s="43" t="s">
        <v>1415</v>
      </c>
      <c r="D988" s="43" t="s">
        <v>1484</v>
      </c>
      <c r="E988" s="57" t="s">
        <v>460</v>
      </c>
      <c r="F988" s="43"/>
      <c r="G988" s="57" t="s">
        <v>76</v>
      </c>
      <c r="H988" s="43"/>
      <c r="I988" s="26"/>
      <c r="J988" s="26"/>
      <c r="K988" s="26"/>
    </row>
    <row r="989" spans="1:11" x14ac:dyDescent="0.25">
      <c r="A989" s="55"/>
      <c r="B989" s="43">
        <v>9.11</v>
      </c>
      <c r="C989" s="43" t="s">
        <v>1415</v>
      </c>
      <c r="D989" s="43" t="s">
        <v>1485</v>
      </c>
      <c r="E989" s="57" t="s">
        <v>458</v>
      </c>
      <c r="F989" s="43"/>
      <c r="G989" s="57" t="s">
        <v>76</v>
      </c>
      <c r="H989" s="43"/>
      <c r="I989" s="26"/>
      <c r="J989" s="26"/>
      <c r="K989" s="26"/>
    </row>
    <row r="990" spans="1:11" x14ac:dyDescent="0.25">
      <c r="A990" s="55"/>
      <c r="B990" s="43">
        <v>9.11</v>
      </c>
      <c r="C990" s="43" t="s">
        <v>1415</v>
      </c>
      <c r="D990" s="43" t="s">
        <v>1486</v>
      </c>
      <c r="E990" s="57" t="s">
        <v>1487</v>
      </c>
      <c r="F990" s="43"/>
      <c r="G990" s="57" t="s">
        <v>76</v>
      </c>
      <c r="H990" s="43"/>
      <c r="I990" s="26"/>
      <c r="J990" s="26"/>
      <c r="K990" s="26"/>
    </row>
    <row r="991" spans="1:11" x14ac:dyDescent="0.25">
      <c r="A991" s="55"/>
      <c r="B991" s="43">
        <v>9.11</v>
      </c>
      <c r="C991" s="43" t="s">
        <v>1415</v>
      </c>
      <c r="D991" s="43" t="s">
        <v>1488</v>
      </c>
      <c r="E991" s="57" t="s">
        <v>1489</v>
      </c>
      <c r="F991" s="43"/>
      <c r="G991" s="57" t="s">
        <v>76</v>
      </c>
      <c r="H991" s="43"/>
      <c r="I991" s="26"/>
      <c r="J991" s="26"/>
      <c r="K991" s="26"/>
    </row>
    <row r="992" spans="1:11" x14ac:dyDescent="0.25">
      <c r="A992" s="55"/>
      <c r="B992" s="43">
        <v>9.11</v>
      </c>
      <c r="C992" s="43" t="s">
        <v>1415</v>
      </c>
      <c r="D992" s="43" t="s">
        <v>1490</v>
      </c>
      <c r="E992" s="57" t="s">
        <v>1491</v>
      </c>
      <c r="F992" s="43"/>
      <c r="G992" s="57" t="s">
        <v>76</v>
      </c>
      <c r="H992" s="43"/>
      <c r="I992" s="26"/>
      <c r="J992" s="26"/>
      <c r="K992" s="26"/>
    </row>
    <row r="993" spans="1:11" x14ac:dyDescent="0.25">
      <c r="A993" s="55"/>
      <c r="B993" s="43">
        <v>9.14</v>
      </c>
      <c r="C993" s="21" t="s">
        <v>263</v>
      </c>
      <c r="D993" s="43" t="s">
        <v>1492</v>
      </c>
      <c r="E993" s="57" t="s">
        <v>1493</v>
      </c>
      <c r="F993" s="43"/>
      <c r="G993" s="57" t="s">
        <v>76</v>
      </c>
      <c r="H993" s="43"/>
      <c r="I993" s="26"/>
      <c r="J993" s="26"/>
      <c r="K993" s="26"/>
    </row>
    <row r="994" spans="1:11" x14ac:dyDescent="0.25">
      <c r="A994" s="55"/>
      <c r="B994" s="43">
        <v>9.14</v>
      </c>
      <c r="C994" s="21" t="s">
        <v>263</v>
      </c>
      <c r="D994" s="43" t="s">
        <v>1494</v>
      </c>
      <c r="E994" s="57" t="s">
        <v>1495</v>
      </c>
      <c r="F994" s="43"/>
      <c r="G994" s="57" t="s">
        <v>76</v>
      </c>
      <c r="H994" s="43"/>
      <c r="I994" s="26"/>
      <c r="J994" s="26"/>
      <c r="K994" s="26"/>
    </row>
    <row r="995" spans="1:11" x14ac:dyDescent="0.25">
      <c r="A995" s="55"/>
      <c r="B995" s="43">
        <v>9.14</v>
      </c>
      <c r="C995" s="21" t="s">
        <v>263</v>
      </c>
      <c r="D995" s="43" t="s">
        <v>1496</v>
      </c>
      <c r="E995" s="57" t="s">
        <v>1497</v>
      </c>
      <c r="F995" s="43"/>
      <c r="G995" s="57" t="s">
        <v>76</v>
      </c>
      <c r="H995" s="43"/>
      <c r="I995" s="26"/>
      <c r="J995" s="26"/>
      <c r="K995" s="26"/>
    </row>
    <row r="996" spans="1:11" x14ac:dyDescent="0.25">
      <c r="A996" s="55"/>
      <c r="B996" s="43">
        <v>9.14</v>
      </c>
      <c r="C996" s="21" t="s">
        <v>263</v>
      </c>
      <c r="D996" s="43" t="s">
        <v>1498</v>
      </c>
      <c r="E996" s="57" t="s">
        <v>1499</v>
      </c>
      <c r="F996" s="43"/>
      <c r="G996" s="57" t="s">
        <v>76</v>
      </c>
      <c r="H996" s="43"/>
      <c r="I996" s="26"/>
      <c r="J996" s="26"/>
      <c r="K996" s="26"/>
    </row>
    <row r="997" spans="1:11" x14ac:dyDescent="0.25">
      <c r="A997" s="55"/>
      <c r="B997" s="43">
        <v>9.14</v>
      </c>
      <c r="C997" s="21" t="s">
        <v>263</v>
      </c>
      <c r="D997" s="43" t="s">
        <v>1500</v>
      </c>
      <c r="E997" s="57" t="s">
        <v>1501</v>
      </c>
      <c r="F997" s="43"/>
      <c r="G997" s="57" t="s">
        <v>76</v>
      </c>
      <c r="H997" s="43"/>
      <c r="I997" s="26"/>
      <c r="J997" s="26"/>
      <c r="K997" s="26"/>
    </row>
    <row r="998" spans="1:11" x14ac:dyDescent="0.25">
      <c r="A998" s="55"/>
      <c r="B998" s="43">
        <v>9.14</v>
      </c>
      <c r="C998" s="21" t="s">
        <v>263</v>
      </c>
      <c r="D998" s="43" t="s">
        <v>1502</v>
      </c>
      <c r="E998" s="57" t="s">
        <v>1503</v>
      </c>
      <c r="F998" s="43"/>
      <c r="G998" s="57" t="s">
        <v>76</v>
      </c>
      <c r="H998" s="43"/>
      <c r="I998" s="26"/>
      <c r="J998" s="26"/>
      <c r="K998" s="26"/>
    </row>
    <row r="999" spans="1:11" x14ac:dyDescent="0.25">
      <c r="A999" s="55"/>
      <c r="B999" s="43">
        <v>9.14</v>
      </c>
      <c r="C999" s="21" t="s">
        <v>263</v>
      </c>
      <c r="D999" s="43" t="s">
        <v>1504</v>
      </c>
      <c r="E999" s="57" t="s">
        <v>1505</v>
      </c>
      <c r="F999" s="43"/>
      <c r="G999" s="57" t="s">
        <v>76</v>
      </c>
      <c r="H999" s="43"/>
      <c r="I999" s="26"/>
      <c r="J999" s="26"/>
      <c r="K999" s="26"/>
    </row>
    <row r="1000" spans="1:11" x14ac:dyDescent="0.25">
      <c r="A1000" s="55"/>
      <c r="B1000" s="43">
        <v>9.14</v>
      </c>
      <c r="C1000" s="21" t="s">
        <v>263</v>
      </c>
      <c r="D1000" s="43" t="s">
        <v>1506</v>
      </c>
      <c r="E1000" s="57" t="s">
        <v>1507</v>
      </c>
      <c r="F1000" s="43"/>
      <c r="G1000" s="57" t="s">
        <v>76</v>
      </c>
      <c r="H1000" s="43"/>
      <c r="I1000" s="26"/>
      <c r="J1000" s="26"/>
      <c r="K1000" s="26"/>
    </row>
    <row r="1001" spans="1:11" x14ac:dyDescent="0.25">
      <c r="A1001" s="55"/>
      <c r="B1001" s="43">
        <v>9.14</v>
      </c>
      <c r="C1001" s="21" t="s">
        <v>263</v>
      </c>
      <c r="D1001" s="43" t="s">
        <v>1508</v>
      </c>
      <c r="E1001" s="57" t="s">
        <v>1509</v>
      </c>
      <c r="F1001" s="43"/>
      <c r="G1001" s="57" t="s">
        <v>76</v>
      </c>
      <c r="H1001" s="43"/>
      <c r="I1001" s="26"/>
      <c r="J1001" s="26"/>
      <c r="K1001" s="26"/>
    </row>
    <row r="1002" spans="1:11" x14ac:dyDescent="0.25">
      <c r="A1002" s="55"/>
      <c r="B1002" s="43">
        <v>9.14</v>
      </c>
      <c r="C1002" s="21" t="s">
        <v>263</v>
      </c>
      <c r="D1002" s="43" t="s">
        <v>1510</v>
      </c>
      <c r="E1002" s="57" t="s">
        <v>1511</v>
      </c>
      <c r="F1002" s="43"/>
      <c r="G1002" s="57" t="s">
        <v>76</v>
      </c>
      <c r="H1002" s="43"/>
      <c r="I1002" s="26"/>
      <c r="J1002" s="26"/>
      <c r="K1002" s="26"/>
    </row>
    <row r="1003" spans="1:11" x14ac:dyDescent="0.25">
      <c r="A1003" s="55"/>
      <c r="B1003" s="43">
        <v>9.14</v>
      </c>
      <c r="C1003" s="21" t="s">
        <v>263</v>
      </c>
      <c r="D1003" s="43" t="s">
        <v>1512</v>
      </c>
      <c r="E1003" s="57" t="s">
        <v>1513</v>
      </c>
      <c r="F1003" s="43"/>
      <c r="G1003" s="57" t="s">
        <v>76</v>
      </c>
      <c r="H1003" s="43"/>
      <c r="I1003" s="26"/>
      <c r="J1003" s="26"/>
      <c r="K1003" s="26"/>
    </row>
    <row r="1004" spans="1:11" x14ac:dyDescent="0.25">
      <c r="A1004" s="55"/>
      <c r="B1004" s="43">
        <v>9.14</v>
      </c>
      <c r="C1004" s="21" t="s">
        <v>263</v>
      </c>
      <c r="D1004" s="43" t="s">
        <v>1514</v>
      </c>
      <c r="E1004" s="57" t="s">
        <v>1515</v>
      </c>
      <c r="F1004" s="43"/>
      <c r="G1004" s="57" t="s">
        <v>76</v>
      </c>
      <c r="H1004" s="43"/>
      <c r="I1004" s="26"/>
      <c r="J1004" s="26"/>
      <c r="K1004" s="26"/>
    </row>
    <row r="1005" spans="1:11" x14ac:dyDescent="0.25">
      <c r="A1005" s="55"/>
      <c r="B1005" s="43">
        <v>9.14</v>
      </c>
      <c r="C1005" s="21" t="s">
        <v>263</v>
      </c>
      <c r="D1005" s="43" t="s">
        <v>1516</v>
      </c>
      <c r="E1005" s="57" t="s">
        <v>1517</v>
      </c>
      <c r="F1005" s="43"/>
      <c r="G1005" s="57" t="s">
        <v>76</v>
      </c>
      <c r="H1005" s="43"/>
      <c r="I1005" s="26"/>
      <c r="J1005" s="26"/>
      <c r="K1005" s="26"/>
    </row>
    <row r="1006" spans="1:11" x14ac:dyDescent="0.25">
      <c r="A1006" s="55"/>
      <c r="B1006" s="43">
        <v>9.14</v>
      </c>
      <c r="C1006" s="21" t="s">
        <v>263</v>
      </c>
      <c r="D1006" s="43" t="s">
        <v>1518</v>
      </c>
      <c r="E1006" s="57" t="s">
        <v>1519</v>
      </c>
      <c r="F1006" s="43"/>
      <c r="G1006" s="57" t="s">
        <v>76</v>
      </c>
      <c r="H1006" s="43"/>
      <c r="I1006" s="26"/>
      <c r="J1006" s="26"/>
      <c r="K1006" s="26"/>
    </row>
    <row r="1007" spans="1:11" x14ac:dyDescent="0.25">
      <c r="A1007" s="55"/>
      <c r="B1007" s="43">
        <v>9.14</v>
      </c>
      <c r="C1007" s="21" t="s">
        <v>263</v>
      </c>
      <c r="D1007" s="43" t="s">
        <v>1520</v>
      </c>
      <c r="E1007" s="57" t="s">
        <v>1521</v>
      </c>
      <c r="F1007" s="43"/>
      <c r="G1007" s="57" t="s">
        <v>76</v>
      </c>
      <c r="H1007" s="43"/>
      <c r="I1007" s="26"/>
      <c r="J1007" s="26"/>
      <c r="K1007" s="26"/>
    </row>
    <row r="1008" spans="1:11" x14ac:dyDescent="0.25">
      <c r="A1008" s="55"/>
      <c r="B1008" s="43">
        <v>9.14</v>
      </c>
      <c r="C1008" s="21" t="s">
        <v>263</v>
      </c>
      <c r="D1008" s="43" t="s">
        <v>1522</v>
      </c>
      <c r="E1008" s="57" t="s">
        <v>1523</v>
      </c>
      <c r="F1008" s="43"/>
      <c r="G1008" s="57" t="s">
        <v>76</v>
      </c>
      <c r="H1008" s="43"/>
      <c r="I1008" s="26"/>
      <c r="J1008" s="26"/>
      <c r="K1008" s="26"/>
    </row>
    <row r="1009" spans="1:11" x14ac:dyDescent="0.25">
      <c r="A1009" s="55"/>
      <c r="B1009" s="43">
        <v>9.15</v>
      </c>
      <c r="C1009" s="43" t="s">
        <v>1524</v>
      </c>
      <c r="D1009" s="43" t="s">
        <v>1525</v>
      </c>
      <c r="E1009" s="57" t="s">
        <v>1526</v>
      </c>
      <c r="F1009" s="43"/>
      <c r="G1009" s="57" t="s">
        <v>76</v>
      </c>
      <c r="H1009" s="43"/>
      <c r="I1009" s="26"/>
      <c r="J1009" s="26"/>
      <c r="K1009" s="26"/>
    </row>
    <row r="1010" spans="1:11" x14ac:dyDescent="0.25">
      <c r="A1010" s="55"/>
      <c r="B1010" s="43">
        <v>9.15</v>
      </c>
      <c r="C1010" s="43" t="s">
        <v>1524</v>
      </c>
      <c r="D1010" s="43" t="s">
        <v>1527</v>
      </c>
      <c r="E1010" s="57" t="s">
        <v>1528</v>
      </c>
      <c r="F1010" s="43"/>
      <c r="G1010" s="57" t="s">
        <v>76</v>
      </c>
      <c r="H1010" s="43"/>
      <c r="I1010" s="26"/>
      <c r="J1010" s="26"/>
      <c r="K1010" s="26"/>
    </row>
    <row r="1011" spans="1:11" x14ac:dyDescent="0.25">
      <c r="A1011" s="55"/>
      <c r="B1011" s="43">
        <v>9.15</v>
      </c>
      <c r="C1011" s="43" t="s">
        <v>1524</v>
      </c>
      <c r="D1011" s="43" t="s">
        <v>1529</v>
      </c>
      <c r="E1011" s="57" t="s">
        <v>1530</v>
      </c>
      <c r="F1011" s="43"/>
      <c r="G1011" s="57" t="s">
        <v>76</v>
      </c>
      <c r="H1011" s="43"/>
      <c r="I1011" s="26"/>
      <c r="J1011" s="26"/>
      <c r="K1011" s="26"/>
    </row>
    <row r="1012" spans="1:11" x14ac:dyDescent="0.25">
      <c r="A1012" s="55"/>
      <c r="B1012" s="43">
        <v>9.15</v>
      </c>
      <c r="C1012" s="43" t="s">
        <v>1524</v>
      </c>
      <c r="D1012" s="43" t="s">
        <v>1531</v>
      </c>
      <c r="E1012" s="57" t="s">
        <v>1532</v>
      </c>
      <c r="F1012" s="43"/>
      <c r="G1012" s="57" t="s">
        <v>76</v>
      </c>
      <c r="H1012" s="43"/>
      <c r="I1012" s="26"/>
      <c r="J1012" s="26"/>
      <c r="K1012" s="26"/>
    </row>
    <row r="1013" spans="1:11" x14ac:dyDescent="0.25">
      <c r="A1013" s="55"/>
      <c r="B1013" s="43">
        <v>9.15</v>
      </c>
      <c r="C1013" s="43" t="s">
        <v>1524</v>
      </c>
      <c r="D1013" s="43" t="s">
        <v>1533</v>
      </c>
      <c r="E1013" s="57" t="s">
        <v>1534</v>
      </c>
      <c r="F1013" s="43"/>
      <c r="G1013" s="57" t="s">
        <v>76</v>
      </c>
      <c r="H1013" s="43"/>
      <c r="I1013" s="26"/>
      <c r="J1013" s="26"/>
      <c r="K1013" s="26"/>
    </row>
    <row r="1014" spans="1:11" x14ac:dyDescent="0.25">
      <c r="A1014" s="55"/>
      <c r="B1014" s="43">
        <v>9.15</v>
      </c>
      <c r="C1014" s="43" t="s">
        <v>1524</v>
      </c>
      <c r="D1014" s="43" t="s">
        <v>1535</v>
      </c>
      <c r="E1014" s="57" t="s">
        <v>1536</v>
      </c>
      <c r="F1014" s="43"/>
      <c r="G1014" s="57" t="s">
        <v>76</v>
      </c>
      <c r="H1014" s="43"/>
      <c r="I1014" s="26"/>
      <c r="J1014" s="26"/>
      <c r="K1014" s="26"/>
    </row>
    <row r="1015" spans="1:11" x14ac:dyDescent="0.25">
      <c r="A1015" s="55"/>
      <c r="B1015" s="43">
        <v>9.15</v>
      </c>
      <c r="C1015" s="43" t="s">
        <v>1524</v>
      </c>
      <c r="D1015" s="43" t="s">
        <v>1537</v>
      </c>
      <c r="E1015" s="57" t="s">
        <v>1538</v>
      </c>
      <c r="F1015" s="43"/>
      <c r="G1015" s="57" t="s">
        <v>76</v>
      </c>
      <c r="H1015" s="43"/>
      <c r="I1015" s="26"/>
      <c r="J1015" s="26"/>
      <c r="K1015" s="26"/>
    </row>
    <row r="1016" spans="1:11" x14ac:dyDescent="0.25">
      <c r="A1016" s="55"/>
      <c r="B1016" s="43">
        <v>9.15</v>
      </c>
      <c r="C1016" s="43" t="s">
        <v>1524</v>
      </c>
      <c r="D1016" s="43" t="s">
        <v>1539</v>
      </c>
      <c r="E1016" s="57" t="s">
        <v>1540</v>
      </c>
      <c r="F1016" s="43"/>
      <c r="G1016" s="57" t="s">
        <v>76</v>
      </c>
      <c r="H1016" s="43"/>
      <c r="I1016" s="26"/>
      <c r="J1016" s="26"/>
      <c r="K1016" s="26"/>
    </row>
    <row r="1017" spans="1:11" x14ac:dyDescent="0.25">
      <c r="A1017" s="55"/>
      <c r="B1017" s="43">
        <v>9.15</v>
      </c>
      <c r="C1017" s="43" t="s">
        <v>1524</v>
      </c>
      <c r="D1017" s="43" t="s">
        <v>1541</v>
      </c>
      <c r="E1017" s="57" t="s">
        <v>1542</v>
      </c>
      <c r="F1017" s="43"/>
      <c r="G1017" s="57" t="s">
        <v>76</v>
      </c>
      <c r="H1017" s="43"/>
      <c r="I1017" s="26"/>
      <c r="J1017" s="26"/>
      <c r="K1017" s="26"/>
    </row>
    <row r="1018" spans="1:11" x14ac:dyDescent="0.25">
      <c r="A1018" s="55"/>
      <c r="B1018" s="43">
        <v>9.15</v>
      </c>
      <c r="C1018" s="43" t="s">
        <v>1524</v>
      </c>
      <c r="D1018" s="43" t="s">
        <v>1543</v>
      </c>
      <c r="E1018" s="57" t="s">
        <v>1544</v>
      </c>
      <c r="F1018" s="43"/>
      <c r="G1018" s="57" t="s">
        <v>76</v>
      </c>
      <c r="H1018" s="43"/>
      <c r="I1018" s="26"/>
      <c r="J1018" s="26"/>
      <c r="K1018" s="26"/>
    </row>
    <row r="1019" spans="1:11" x14ac:dyDescent="0.25">
      <c r="A1019" s="55"/>
      <c r="B1019" s="43">
        <v>9.15</v>
      </c>
      <c r="C1019" s="43" t="s">
        <v>1524</v>
      </c>
      <c r="D1019" s="43" t="s">
        <v>1545</v>
      </c>
      <c r="E1019" s="57" t="s">
        <v>1546</v>
      </c>
      <c r="F1019" s="43"/>
      <c r="G1019" s="57" t="s">
        <v>76</v>
      </c>
      <c r="H1019" s="43"/>
      <c r="I1019" s="26"/>
      <c r="J1019" s="26"/>
      <c r="K1019" s="26"/>
    </row>
    <row r="1020" spans="1:11" x14ac:dyDescent="0.25">
      <c r="A1020" s="55"/>
      <c r="B1020" s="43">
        <v>9.15</v>
      </c>
      <c r="C1020" s="43" t="s">
        <v>1524</v>
      </c>
      <c r="D1020" s="43" t="s">
        <v>1547</v>
      </c>
      <c r="E1020" s="57" t="s">
        <v>1548</v>
      </c>
      <c r="F1020" s="43"/>
      <c r="G1020" s="57" t="s">
        <v>76</v>
      </c>
      <c r="H1020" s="43"/>
      <c r="I1020" s="26"/>
      <c r="J1020" s="26"/>
      <c r="K1020" s="26"/>
    </row>
    <row r="1021" spans="1:11" x14ac:dyDescent="0.25">
      <c r="A1021" s="55"/>
      <c r="B1021" s="43">
        <v>9.15</v>
      </c>
      <c r="C1021" s="43" t="s">
        <v>1524</v>
      </c>
      <c r="D1021" s="43" t="s">
        <v>1549</v>
      </c>
      <c r="E1021" s="57" t="s">
        <v>1550</v>
      </c>
      <c r="F1021" s="43"/>
      <c r="G1021" s="57" t="s">
        <v>76</v>
      </c>
      <c r="H1021" s="43"/>
      <c r="I1021" s="26"/>
      <c r="J1021" s="26"/>
      <c r="K1021" s="26"/>
    </row>
    <row r="1022" spans="1:11" x14ac:dyDescent="0.25">
      <c r="A1022" s="55"/>
      <c r="B1022" s="43">
        <v>9.15</v>
      </c>
      <c r="C1022" s="43" t="s">
        <v>1524</v>
      </c>
      <c r="D1022" s="43" t="s">
        <v>1551</v>
      </c>
      <c r="E1022" s="57" t="s">
        <v>1552</v>
      </c>
      <c r="F1022" s="43"/>
      <c r="G1022" s="57" t="s">
        <v>76</v>
      </c>
      <c r="H1022" s="43"/>
      <c r="I1022" s="26"/>
      <c r="J1022" s="26"/>
      <c r="K1022" s="26"/>
    </row>
    <row r="1023" spans="1:11" x14ac:dyDescent="0.25">
      <c r="A1023" s="55"/>
      <c r="B1023" s="43">
        <v>9.15</v>
      </c>
      <c r="C1023" s="43" t="s">
        <v>1524</v>
      </c>
      <c r="D1023" s="43" t="s">
        <v>1553</v>
      </c>
      <c r="E1023" s="57" t="s">
        <v>1554</v>
      </c>
      <c r="F1023" s="43"/>
      <c r="G1023" s="57" t="s">
        <v>76</v>
      </c>
      <c r="H1023" s="43"/>
      <c r="I1023" s="26"/>
      <c r="J1023" s="26"/>
      <c r="K1023" s="26"/>
    </row>
    <row r="1024" spans="1:11" x14ac:dyDescent="0.25">
      <c r="A1024" s="55"/>
      <c r="B1024" s="43">
        <v>9.15</v>
      </c>
      <c r="C1024" s="43" t="s">
        <v>1524</v>
      </c>
      <c r="D1024" s="43" t="s">
        <v>1555</v>
      </c>
      <c r="E1024" s="57" t="s">
        <v>1556</v>
      </c>
      <c r="F1024" s="43"/>
      <c r="G1024" s="57" t="s">
        <v>76</v>
      </c>
      <c r="H1024" s="43"/>
      <c r="I1024" s="26"/>
      <c r="J1024" s="26"/>
      <c r="K1024" s="26"/>
    </row>
    <row r="1025" spans="1:11" x14ac:dyDescent="0.25">
      <c r="A1025" s="55"/>
      <c r="B1025" s="43">
        <v>9.15</v>
      </c>
      <c r="C1025" s="43" t="s">
        <v>1524</v>
      </c>
      <c r="D1025" s="43" t="s">
        <v>1557</v>
      </c>
      <c r="E1025" s="57" t="s">
        <v>1558</v>
      </c>
      <c r="F1025" s="43"/>
      <c r="G1025" s="57" t="s">
        <v>76</v>
      </c>
      <c r="H1025" s="43"/>
      <c r="I1025" s="26"/>
      <c r="J1025" s="26"/>
      <c r="K1025" s="26"/>
    </row>
    <row r="1026" spans="1:11" x14ac:dyDescent="0.25">
      <c r="A1026" s="55"/>
      <c r="B1026" s="43">
        <v>9.15</v>
      </c>
      <c r="C1026" s="43" t="s">
        <v>1524</v>
      </c>
      <c r="D1026" s="43" t="s">
        <v>1559</v>
      </c>
      <c r="E1026" s="57" t="s">
        <v>1560</v>
      </c>
      <c r="F1026" s="43"/>
      <c r="G1026" s="57" t="s">
        <v>76</v>
      </c>
      <c r="H1026" s="43"/>
      <c r="I1026" s="26"/>
      <c r="J1026" s="26"/>
      <c r="K1026" s="26"/>
    </row>
    <row r="1027" spans="1:11" x14ac:dyDescent="0.25">
      <c r="A1027" s="55"/>
      <c r="B1027" s="43">
        <v>9.15</v>
      </c>
      <c r="C1027" s="43" t="s">
        <v>1524</v>
      </c>
      <c r="D1027" s="43" t="s">
        <v>1561</v>
      </c>
      <c r="E1027" s="57" t="s">
        <v>1562</v>
      </c>
      <c r="F1027" s="43"/>
      <c r="G1027" s="57" t="s">
        <v>76</v>
      </c>
      <c r="H1027" s="43"/>
      <c r="I1027" s="26"/>
      <c r="J1027" s="26"/>
      <c r="K1027" s="26"/>
    </row>
    <row r="1028" spans="1:11" x14ac:dyDescent="0.25">
      <c r="A1028" s="55"/>
      <c r="B1028" s="43">
        <v>9.15</v>
      </c>
      <c r="C1028" s="43" t="s">
        <v>1524</v>
      </c>
      <c r="D1028" s="43" t="s">
        <v>1563</v>
      </c>
      <c r="E1028" s="57" t="s">
        <v>1564</v>
      </c>
      <c r="F1028" s="43"/>
      <c r="G1028" s="57" t="s">
        <v>76</v>
      </c>
      <c r="H1028" s="43"/>
      <c r="I1028" s="26"/>
      <c r="J1028" s="26"/>
      <c r="K1028" s="26"/>
    </row>
    <row r="1029" spans="1:11" x14ac:dyDescent="0.25">
      <c r="A1029" s="55"/>
      <c r="B1029" s="43">
        <v>9.15</v>
      </c>
      <c r="C1029" s="43" t="s">
        <v>1524</v>
      </c>
      <c r="D1029" s="43" t="s">
        <v>1565</v>
      </c>
      <c r="E1029" s="57" t="s">
        <v>1566</v>
      </c>
      <c r="F1029" s="43"/>
      <c r="G1029" s="57" t="s">
        <v>76</v>
      </c>
      <c r="H1029" s="43"/>
      <c r="I1029" s="26"/>
      <c r="J1029" s="26"/>
      <c r="K1029" s="26"/>
    </row>
    <row r="1030" spans="1:11" x14ac:dyDescent="0.25">
      <c r="A1030" s="55"/>
      <c r="B1030" s="43">
        <v>9.15</v>
      </c>
      <c r="C1030" s="43" t="s">
        <v>1524</v>
      </c>
      <c r="D1030" s="43" t="s">
        <v>1567</v>
      </c>
      <c r="E1030" s="57" t="s">
        <v>1568</v>
      </c>
      <c r="F1030" s="43"/>
      <c r="G1030" s="57" t="s">
        <v>76</v>
      </c>
      <c r="H1030" s="43"/>
      <c r="I1030" s="26"/>
      <c r="J1030" s="26"/>
      <c r="K1030" s="26"/>
    </row>
    <row r="1031" spans="1:11" x14ac:dyDescent="0.25">
      <c r="A1031" s="55"/>
      <c r="B1031" s="43">
        <v>9.15</v>
      </c>
      <c r="C1031" s="43" t="s">
        <v>1524</v>
      </c>
      <c r="D1031" s="43" t="s">
        <v>1569</v>
      </c>
      <c r="E1031" s="57" t="s">
        <v>1570</v>
      </c>
      <c r="F1031" s="43"/>
      <c r="G1031" s="57" t="s">
        <v>76</v>
      </c>
      <c r="H1031" s="43"/>
      <c r="I1031" s="26"/>
      <c r="J1031" s="26"/>
      <c r="K1031" s="26"/>
    </row>
    <row r="1032" spans="1:11" x14ac:dyDescent="0.25">
      <c r="A1032" s="55"/>
      <c r="B1032" s="43">
        <v>9.15</v>
      </c>
      <c r="C1032" s="43" t="s">
        <v>1524</v>
      </c>
      <c r="D1032" s="43" t="s">
        <v>1557</v>
      </c>
      <c r="E1032" s="57" t="s">
        <v>1571</v>
      </c>
      <c r="F1032" s="43"/>
      <c r="G1032" s="57" t="s">
        <v>76</v>
      </c>
      <c r="H1032" s="43"/>
      <c r="I1032" s="26"/>
      <c r="J1032" s="26"/>
      <c r="K1032" s="26"/>
    </row>
    <row r="1033" spans="1:11" x14ac:dyDescent="0.25">
      <c r="A1033" s="55"/>
      <c r="B1033" s="43">
        <v>9.15</v>
      </c>
      <c r="C1033" s="43" t="s">
        <v>1524</v>
      </c>
      <c r="D1033" s="43" t="s">
        <v>1572</v>
      </c>
      <c r="E1033" s="57" t="s">
        <v>1573</v>
      </c>
      <c r="F1033" s="43"/>
      <c r="G1033" s="57" t="s">
        <v>76</v>
      </c>
      <c r="H1033" s="43"/>
      <c r="I1033" s="26"/>
      <c r="J1033" s="26"/>
      <c r="K1033" s="26"/>
    </row>
    <row r="1034" spans="1:11" x14ac:dyDescent="0.25">
      <c r="A1034" s="55"/>
      <c r="B1034" s="43">
        <v>9.15</v>
      </c>
      <c r="C1034" s="43" t="s">
        <v>1524</v>
      </c>
      <c r="D1034" s="43" t="s">
        <v>1574</v>
      </c>
      <c r="E1034" s="57" t="s">
        <v>1575</v>
      </c>
      <c r="F1034" s="43"/>
      <c r="G1034" s="57" t="s">
        <v>76</v>
      </c>
      <c r="H1034" s="43"/>
      <c r="I1034" s="26"/>
      <c r="J1034" s="26"/>
      <c r="K1034" s="26"/>
    </row>
    <row r="1035" spans="1:11" x14ac:dyDescent="0.25">
      <c r="A1035" s="55"/>
      <c r="B1035" s="43">
        <v>9.15</v>
      </c>
      <c r="C1035" s="43" t="s">
        <v>1524</v>
      </c>
      <c r="D1035" s="43" t="s">
        <v>1576</v>
      </c>
      <c r="E1035" s="57" t="s">
        <v>1577</v>
      </c>
      <c r="F1035" s="43"/>
      <c r="G1035" s="57" t="s">
        <v>76</v>
      </c>
      <c r="H1035" s="43"/>
      <c r="I1035" s="26"/>
      <c r="J1035" s="26"/>
      <c r="K1035" s="26"/>
    </row>
    <row r="1036" spans="1:11" x14ac:dyDescent="0.25">
      <c r="A1036" s="55"/>
      <c r="B1036" s="43">
        <v>9.15</v>
      </c>
      <c r="C1036" s="43" t="s">
        <v>1524</v>
      </c>
      <c r="D1036" s="43" t="s">
        <v>1578</v>
      </c>
      <c r="E1036" s="57" t="s">
        <v>1579</v>
      </c>
      <c r="F1036" s="43"/>
      <c r="G1036" s="57" t="s">
        <v>76</v>
      </c>
      <c r="H1036" s="43"/>
      <c r="I1036" s="26"/>
      <c r="J1036" s="26"/>
      <c r="K1036" s="26"/>
    </row>
    <row r="1037" spans="1:11" x14ac:dyDescent="0.25">
      <c r="A1037" s="55"/>
      <c r="B1037" s="43">
        <v>9.15</v>
      </c>
      <c r="C1037" s="43" t="s">
        <v>1524</v>
      </c>
      <c r="D1037" s="43" t="s">
        <v>1580</v>
      </c>
      <c r="E1037" s="57" t="s">
        <v>1581</v>
      </c>
      <c r="F1037" s="43"/>
      <c r="G1037" s="57" t="s">
        <v>76</v>
      </c>
      <c r="H1037" s="43"/>
      <c r="I1037" s="26"/>
      <c r="J1037" s="26"/>
      <c r="K1037" s="26"/>
    </row>
    <row r="1038" spans="1:11" x14ac:dyDescent="0.25">
      <c r="A1038" s="55"/>
      <c r="B1038" s="43">
        <v>9.15</v>
      </c>
      <c r="C1038" s="43" t="s">
        <v>1524</v>
      </c>
      <c r="D1038" s="43" t="s">
        <v>1582</v>
      </c>
      <c r="E1038" s="57" t="s">
        <v>1583</v>
      </c>
      <c r="F1038" s="43"/>
      <c r="G1038" s="57" t="s">
        <v>76</v>
      </c>
      <c r="H1038" s="43"/>
      <c r="I1038" s="26"/>
      <c r="J1038" s="26"/>
      <c r="K1038" s="26"/>
    </row>
    <row r="1039" spans="1:11" x14ac:dyDescent="0.25">
      <c r="A1039" s="55"/>
      <c r="B1039" s="43">
        <v>9.15</v>
      </c>
      <c r="C1039" s="43" t="s">
        <v>1524</v>
      </c>
      <c r="D1039" s="43" t="s">
        <v>1584</v>
      </c>
      <c r="E1039" s="57" t="s">
        <v>1585</v>
      </c>
      <c r="F1039" s="43"/>
      <c r="G1039" s="57" t="s">
        <v>76</v>
      </c>
      <c r="H1039" s="43"/>
      <c r="I1039" s="26"/>
      <c r="J1039" s="26"/>
      <c r="K1039" s="26"/>
    </row>
    <row r="1040" spans="1:11" x14ac:dyDescent="0.25">
      <c r="A1040" s="55"/>
      <c r="B1040" s="43">
        <v>9.15</v>
      </c>
      <c r="C1040" s="43" t="s">
        <v>1524</v>
      </c>
      <c r="D1040" s="43" t="s">
        <v>1586</v>
      </c>
      <c r="E1040" s="57" t="s">
        <v>1587</v>
      </c>
      <c r="F1040" s="43"/>
      <c r="G1040" s="57" t="s">
        <v>76</v>
      </c>
      <c r="H1040" s="43"/>
      <c r="I1040" s="26"/>
      <c r="J1040" s="26"/>
      <c r="K1040" s="26"/>
    </row>
    <row r="1041" spans="1:11" x14ac:dyDescent="0.25">
      <c r="A1041" s="55"/>
      <c r="B1041" s="43">
        <v>9.15</v>
      </c>
      <c r="C1041" s="43" t="s">
        <v>1524</v>
      </c>
      <c r="D1041" s="43" t="s">
        <v>1588</v>
      </c>
      <c r="E1041" s="57" t="s">
        <v>1589</v>
      </c>
      <c r="F1041" s="43"/>
      <c r="G1041" s="57" t="s">
        <v>76</v>
      </c>
      <c r="H1041" s="43"/>
      <c r="I1041" s="26"/>
      <c r="J1041" s="26"/>
      <c r="K1041" s="26"/>
    </row>
    <row r="1042" spans="1:11" x14ac:dyDescent="0.25">
      <c r="A1042" s="55"/>
      <c r="B1042" s="43">
        <v>9.15</v>
      </c>
      <c r="C1042" s="43" t="s">
        <v>1524</v>
      </c>
      <c r="D1042" s="43" t="s">
        <v>1590</v>
      </c>
      <c r="E1042" s="57" t="s">
        <v>1591</v>
      </c>
      <c r="F1042" s="43"/>
      <c r="G1042" s="57" t="s">
        <v>76</v>
      </c>
      <c r="H1042" s="43"/>
      <c r="I1042" s="26"/>
      <c r="J1042" s="26"/>
      <c r="K1042" s="26"/>
    </row>
    <row r="1043" spans="1:11" x14ac:dyDescent="0.25">
      <c r="A1043" s="55"/>
      <c r="B1043" s="43">
        <v>9.15</v>
      </c>
      <c r="C1043" s="43" t="s">
        <v>1524</v>
      </c>
      <c r="D1043" s="43" t="s">
        <v>1592</v>
      </c>
      <c r="E1043" s="57" t="s">
        <v>1593</v>
      </c>
      <c r="F1043" s="43"/>
      <c r="G1043" s="57" t="s">
        <v>76</v>
      </c>
      <c r="H1043" s="43"/>
      <c r="I1043" s="26"/>
      <c r="J1043" s="26"/>
      <c r="K1043" s="26"/>
    </row>
    <row r="1044" spans="1:11" x14ac:dyDescent="0.25">
      <c r="A1044" s="55"/>
      <c r="B1044" s="43">
        <v>9.15</v>
      </c>
      <c r="C1044" s="43" t="s">
        <v>1524</v>
      </c>
      <c r="D1044" s="43" t="s">
        <v>1594</v>
      </c>
      <c r="E1044" s="57" t="s">
        <v>1595</v>
      </c>
      <c r="F1044" s="43"/>
      <c r="G1044" s="57" t="s">
        <v>76</v>
      </c>
      <c r="H1044" s="43"/>
      <c r="I1044" s="26"/>
      <c r="J1044" s="26"/>
      <c r="K1044" s="26"/>
    </row>
    <row r="1045" spans="1:11" x14ac:dyDescent="0.25">
      <c r="A1045" s="55"/>
      <c r="B1045" s="43">
        <v>9.15</v>
      </c>
      <c r="C1045" s="43" t="s">
        <v>1524</v>
      </c>
      <c r="D1045" s="43" t="s">
        <v>1596</v>
      </c>
      <c r="E1045" s="57" t="s">
        <v>1597</v>
      </c>
      <c r="F1045" s="43"/>
      <c r="G1045" s="57" t="s">
        <v>76</v>
      </c>
      <c r="H1045" s="43"/>
      <c r="I1045" s="26"/>
      <c r="J1045" s="26"/>
      <c r="K1045" s="26"/>
    </row>
    <row r="1046" spans="1:11" x14ac:dyDescent="0.25">
      <c r="A1046" s="55"/>
      <c r="B1046" s="43">
        <v>9.15</v>
      </c>
      <c r="C1046" s="43" t="s">
        <v>1524</v>
      </c>
      <c r="D1046" s="43" t="s">
        <v>1598</v>
      </c>
      <c r="E1046" s="57" t="s">
        <v>1599</v>
      </c>
      <c r="F1046" s="43"/>
      <c r="G1046" s="57" t="s">
        <v>76</v>
      </c>
      <c r="H1046" s="43"/>
      <c r="I1046" s="26"/>
      <c r="J1046" s="26"/>
      <c r="K1046" s="26"/>
    </row>
    <row r="1047" spans="1:11" x14ac:dyDescent="0.25">
      <c r="A1047" s="55"/>
      <c r="B1047" s="43">
        <v>9.15</v>
      </c>
      <c r="C1047" s="43" t="s">
        <v>1524</v>
      </c>
      <c r="D1047" s="43" t="s">
        <v>1559</v>
      </c>
      <c r="E1047" s="57" t="s">
        <v>1600</v>
      </c>
      <c r="F1047" s="43"/>
      <c r="G1047" s="57" t="s">
        <v>76</v>
      </c>
      <c r="H1047" s="43"/>
      <c r="I1047" s="26"/>
      <c r="J1047" s="26"/>
      <c r="K1047" s="26"/>
    </row>
    <row r="1048" spans="1:11" x14ac:dyDescent="0.25">
      <c r="A1048" s="55"/>
      <c r="B1048" s="43">
        <v>9.15</v>
      </c>
      <c r="C1048" s="43" t="s">
        <v>1524</v>
      </c>
      <c r="D1048" s="43" t="s">
        <v>1601</v>
      </c>
      <c r="E1048" s="57" t="s">
        <v>1602</v>
      </c>
      <c r="F1048" s="43"/>
      <c r="G1048" s="57" t="s">
        <v>76</v>
      </c>
      <c r="H1048" s="43"/>
      <c r="I1048" s="26"/>
      <c r="J1048" s="26"/>
      <c r="K1048" s="26"/>
    </row>
    <row r="1049" spans="1:11" x14ac:dyDescent="0.25">
      <c r="A1049" s="55"/>
      <c r="B1049" s="43">
        <v>9.15</v>
      </c>
      <c r="C1049" s="43" t="s">
        <v>1524</v>
      </c>
      <c r="D1049" s="43" t="s">
        <v>1603</v>
      </c>
      <c r="E1049" s="57" t="s">
        <v>1604</v>
      </c>
      <c r="F1049" s="43"/>
      <c r="G1049" s="57" t="s">
        <v>76</v>
      </c>
      <c r="H1049" s="43"/>
      <c r="I1049" s="26"/>
      <c r="J1049" s="26"/>
      <c r="K1049" s="26"/>
    </row>
    <row r="1050" spans="1:11" x14ac:dyDescent="0.25">
      <c r="A1050" s="55"/>
      <c r="B1050" s="43">
        <v>9.15</v>
      </c>
      <c r="C1050" s="43" t="s">
        <v>1524</v>
      </c>
      <c r="D1050" s="43" t="s">
        <v>1605</v>
      </c>
      <c r="E1050" s="57" t="s">
        <v>1606</v>
      </c>
      <c r="F1050" s="43"/>
      <c r="G1050" s="57" t="s">
        <v>76</v>
      </c>
      <c r="H1050" s="43"/>
      <c r="I1050" s="26"/>
      <c r="J1050" s="26"/>
      <c r="K1050" s="26"/>
    </row>
    <row r="1051" spans="1:11" x14ac:dyDescent="0.25">
      <c r="A1051" s="55"/>
      <c r="B1051" s="43">
        <v>9.15</v>
      </c>
      <c r="C1051" s="43" t="s">
        <v>1524</v>
      </c>
      <c r="D1051" s="43" t="s">
        <v>1607</v>
      </c>
      <c r="E1051" s="57" t="s">
        <v>1608</v>
      </c>
      <c r="F1051" s="43"/>
      <c r="G1051" s="57" t="s">
        <v>76</v>
      </c>
      <c r="H1051" s="43"/>
      <c r="I1051" s="26"/>
      <c r="J1051" s="26"/>
      <c r="K1051" s="26"/>
    </row>
    <row r="1052" spans="1:11" x14ac:dyDescent="0.25">
      <c r="A1052" s="55"/>
      <c r="B1052" s="43">
        <v>9.15</v>
      </c>
      <c r="C1052" s="43" t="s">
        <v>1524</v>
      </c>
      <c r="D1052" s="43" t="s">
        <v>1609</v>
      </c>
      <c r="E1052" s="57" t="s">
        <v>1610</v>
      </c>
      <c r="F1052" s="43"/>
      <c r="G1052" s="57" t="s">
        <v>76</v>
      </c>
      <c r="H1052" s="43"/>
      <c r="I1052" s="26"/>
      <c r="J1052" s="26"/>
      <c r="K1052" s="26"/>
    </row>
    <row r="1053" spans="1:11" x14ac:dyDescent="0.25">
      <c r="A1053" s="55"/>
      <c r="B1053" s="43">
        <v>9.15</v>
      </c>
      <c r="C1053" s="43" t="s">
        <v>1524</v>
      </c>
      <c r="D1053" s="43" t="s">
        <v>1611</v>
      </c>
      <c r="E1053" s="57" t="s">
        <v>1612</v>
      </c>
      <c r="F1053" s="43"/>
      <c r="G1053" s="57" t="s">
        <v>76</v>
      </c>
      <c r="H1053" s="43"/>
      <c r="I1053" s="26"/>
      <c r="J1053" s="26"/>
      <c r="K1053" s="26"/>
    </row>
    <row r="1054" spans="1:11" x14ac:dyDescent="0.25">
      <c r="A1054" s="55"/>
      <c r="B1054" s="43">
        <v>9.15</v>
      </c>
      <c r="C1054" s="43" t="s">
        <v>1524</v>
      </c>
      <c r="D1054" s="43" t="s">
        <v>1613</v>
      </c>
      <c r="E1054" s="57" t="s">
        <v>1614</v>
      </c>
      <c r="F1054" s="43"/>
      <c r="G1054" s="57" t="s">
        <v>76</v>
      </c>
      <c r="H1054" s="43"/>
      <c r="I1054" s="26"/>
      <c r="J1054" s="26"/>
      <c r="K1054" s="26"/>
    </row>
    <row r="1055" spans="1:11" x14ac:dyDescent="0.25">
      <c r="A1055" s="55"/>
      <c r="B1055" s="43">
        <v>9.15</v>
      </c>
      <c r="C1055" s="43" t="s">
        <v>1524</v>
      </c>
      <c r="D1055" s="43" t="s">
        <v>1615</v>
      </c>
      <c r="E1055" s="57" t="s">
        <v>1616</v>
      </c>
      <c r="F1055" s="43"/>
      <c r="G1055" s="57" t="s">
        <v>76</v>
      </c>
      <c r="H1055" s="43"/>
      <c r="I1055" s="26"/>
      <c r="J1055" s="26"/>
      <c r="K1055" s="26"/>
    </row>
    <row r="1056" spans="1:11" x14ac:dyDescent="0.25">
      <c r="A1056" s="55"/>
      <c r="B1056" s="43">
        <v>9.15</v>
      </c>
      <c r="C1056" s="43" t="s">
        <v>1524</v>
      </c>
      <c r="D1056" s="43" t="s">
        <v>1617</v>
      </c>
      <c r="E1056" s="57" t="s">
        <v>1618</v>
      </c>
      <c r="F1056" s="43"/>
      <c r="G1056" s="57" t="s">
        <v>76</v>
      </c>
      <c r="H1056" s="43"/>
      <c r="I1056" s="26"/>
      <c r="J1056" s="26"/>
      <c r="K1056" s="26"/>
    </row>
    <row r="1057" spans="1:11" x14ac:dyDescent="0.25">
      <c r="A1057" s="55"/>
      <c r="B1057" s="43">
        <v>9.15</v>
      </c>
      <c r="C1057" s="43" t="s">
        <v>1524</v>
      </c>
      <c r="D1057" s="43" t="s">
        <v>1619</v>
      </c>
      <c r="E1057" s="57" t="s">
        <v>1620</v>
      </c>
      <c r="F1057" s="43"/>
      <c r="G1057" s="57" t="s">
        <v>76</v>
      </c>
      <c r="H1057" s="43"/>
      <c r="I1057" s="26"/>
      <c r="J1057" s="26"/>
      <c r="K1057" s="26"/>
    </row>
    <row r="1058" spans="1:11" x14ac:dyDescent="0.25">
      <c r="A1058" s="55"/>
      <c r="B1058" s="43">
        <v>9.15</v>
      </c>
      <c r="C1058" s="43" t="s">
        <v>1524</v>
      </c>
      <c r="D1058" s="43" t="s">
        <v>1621</v>
      </c>
      <c r="E1058" s="57" t="s">
        <v>1622</v>
      </c>
      <c r="F1058" s="43"/>
      <c r="G1058" s="57" t="s">
        <v>76</v>
      </c>
      <c r="H1058" s="43"/>
      <c r="I1058" s="26"/>
      <c r="J1058" s="26"/>
      <c r="K1058" s="26"/>
    </row>
    <row r="1059" spans="1:11" x14ac:dyDescent="0.25">
      <c r="A1059" s="55"/>
      <c r="B1059" s="43">
        <v>9.15</v>
      </c>
      <c r="C1059" s="43" t="s">
        <v>1524</v>
      </c>
      <c r="D1059" s="43" t="s">
        <v>1623</v>
      </c>
      <c r="E1059" s="57" t="s">
        <v>1624</v>
      </c>
      <c r="F1059" s="43"/>
      <c r="G1059" s="57" t="s">
        <v>76</v>
      </c>
      <c r="H1059" s="43"/>
      <c r="I1059" s="26"/>
      <c r="J1059" s="26"/>
      <c r="K1059" s="26"/>
    </row>
    <row r="1060" spans="1:11" x14ac:dyDescent="0.25">
      <c r="A1060" s="55"/>
      <c r="B1060" s="43">
        <v>9.15</v>
      </c>
      <c r="C1060" s="43" t="s">
        <v>1524</v>
      </c>
      <c r="D1060" s="43" t="s">
        <v>1625</v>
      </c>
      <c r="E1060" s="57" t="s">
        <v>1626</v>
      </c>
      <c r="F1060" s="43"/>
      <c r="G1060" s="57" t="s">
        <v>76</v>
      </c>
      <c r="H1060" s="43"/>
      <c r="I1060" s="26"/>
      <c r="J1060" s="26"/>
      <c r="K1060" s="26"/>
    </row>
    <row r="1061" spans="1:11" x14ac:dyDescent="0.25">
      <c r="A1061" s="55"/>
      <c r="B1061" s="43">
        <v>9.15</v>
      </c>
      <c r="C1061" s="43" t="s">
        <v>1524</v>
      </c>
      <c r="D1061" s="43" t="s">
        <v>1627</v>
      </c>
      <c r="E1061" s="57" t="s">
        <v>1628</v>
      </c>
      <c r="F1061" s="43"/>
      <c r="G1061" s="57" t="s">
        <v>76</v>
      </c>
      <c r="H1061" s="43"/>
      <c r="I1061" s="26"/>
      <c r="J1061" s="26"/>
      <c r="K1061" s="26"/>
    </row>
    <row r="1062" spans="1:11" x14ac:dyDescent="0.25">
      <c r="A1062" s="55"/>
      <c r="B1062" s="43">
        <v>9.15</v>
      </c>
      <c r="C1062" s="43" t="s">
        <v>1524</v>
      </c>
      <c r="D1062" s="43" t="s">
        <v>1629</v>
      </c>
      <c r="E1062" s="57" t="s">
        <v>1630</v>
      </c>
      <c r="F1062" s="43"/>
      <c r="G1062" s="57" t="s">
        <v>76</v>
      </c>
      <c r="H1062" s="43"/>
      <c r="I1062" s="26"/>
      <c r="J1062" s="26"/>
      <c r="K1062" s="26"/>
    </row>
    <row r="1063" spans="1:11" x14ac:dyDescent="0.25">
      <c r="A1063" s="55"/>
      <c r="B1063" s="43">
        <v>9.15</v>
      </c>
      <c r="C1063" s="43" t="s">
        <v>1524</v>
      </c>
      <c r="D1063" s="43" t="s">
        <v>1631</v>
      </c>
      <c r="E1063" s="57" t="s">
        <v>1632</v>
      </c>
      <c r="F1063" s="43"/>
      <c r="G1063" s="57" t="s">
        <v>76</v>
      </c>
      <c r="H1063" s="43"/>
      <c r="I1063" s="26"/>
      <c r="J1063" s="26"/>
      <c r="K1063" s="26"/>
    </row>
    <row r="1064" spans="1:11" x14ac:dyDescent="0.25">
      <c r="A1064" s="55"/>
      <c r="B1064" s="43">
        <v>9.15</v>
      </c>
      <c r="C1064" s="43" t="s">
        <v>1524</v>
      </c>
      <c r="D1064" s="43" t="s">
        <v>1633</v>
      </c>
      <c r="E1064" s="57" t="s">
        <v>1634</v>
      </c>
      <c r="F1064" s="43"/>
      <c r="G1064" s="57" t="s">
        <v>76</v>
      </c>
      <c r="H1064" s="43"/>
      <c r="I1064" s="26"/>
      <c r="J1064" s="26"/>
      <c r="K1064" s="26"/>
    </row>
    <row r="1065" spans="1:11" x14ac:dyDescent="0.25">
      <c r="A1065" s="55"/>
      <c r="B1065" s="43">
        <v>9.15</v>
      </c>
      <c r="C1065" s="43" t="s">
        <v>1524</v>
      </c>
      <c r="D1065" s="43" t="s">
        <v>1635</v>
      </c>
      <c r="E1065" s="57" t="s">
        <v>1636</v>
      </c>
      <c r="F1065" s="43"/>
      <c r="G1065" s="57" t="s">
        <v>76</v>
      </c>
      <c r="H1065" s="43"/>
      <c r="I1065" s="26"/>
      <c r="J1065" s="26"/>
      <c r="K1065" s="26"/>
    </row>
    <row r="1066" spans="1:11" x14ac:dyDescent="0.25">
      <c r="A1066" s="55"/>
      <c r="B1066" s="43">
        <v>9.15</v>
      </c>
      <c r="C1066" s="43" t="s">
        <v>1524</v>
      </c>
      <c r="D1066" s="43" t="s">
        <v>1637</v>
      </c>
      <c r="E1066" s="57" t="s">
        <v>1638</v>
      </c>
      <c r="F1066" s="43"/>
      <c r="G1066" s="57" t="s">
        <v>76</v>
      </c>
      <c r="H1066" s="43"/>
      <c r="I1066" s="26"/>
      <c r="J1066" s="26"/>
      <c r="K1066" s="26"/>
    </row>
    <row r="1067" spans="1:11" x14ac:dyDescent="0.25">
      <c r="A1067" s="55"/>
      <c r="B1067" s="43">
        <v>9.15</v>
      </c>
      <c r="C1067" s="43" t="s">
        <v>1524</v>
      </c>
      <c r="D1067" s="43" t="s">
        <v>1639</v>
      </c>
      <c r="E1067" s="57" t="s">
        <v>1640</v>
      </c>
      <c r="F1067" s="43"/>
      <c r="G1067" s="57" t="s">
        <v>76</v>
      </c>
      <c r="H1067" s="43"/>
      <c r="I1067" s="26"/>
      <c r="J1067" s="26"/>
      <c r="K1067" s="26"/>
    </row>
    <row r="1068" spans="1:11" x14ac:dyDescent="0.25">
      <c r="A1068" s="55"/>
      <c r="B1068" s="43">
        <v>9.15</v>
      </c>
      <c r="C1068" s="43" t="s">
        <v>1524</v>
      </c>
      <c r="D1068" s="43" t="s">
        <v>1641</v>
      </c>
      <c r="E1068" s="57" t="s">
        <v>1642</v>
      </c>
      <c r="F1068" s="43"/>
      <c r="G1068" s="57" t="s">
        <v>76</v>
      </c>
      <c r="H1068" s="43"/>
      <c r="I1068" s="26"/>
      <c r="J1068" s="26"/>
      <c r="K1068" s="26"/>
    </row>
    <row r="1069" spans="1:11" x14ac:dyDescent="0.25">
      <c r="A1069" s="55"/>
      <c r="B1069" s="43">
        <v>9.15</v>
      </c>
      <c r="C1069" s="43" t="s">
        <v>1524</v>
      </c>
      <c r="D1069" s="43" t="s">
        <v>1643</v>
      </c>
      <c r="E1069" s="57" t="s">
        <v>1642</v>
      </c>
      <c r="F1069" s="43"/>
      <c r="G1069" s="57" t="s">
        <v>76</v>
      </c>
      <c r="H1069" s="43"/>
      <c r="I1069" s="26"/>
      <c r="J1069" s="26"/>
      <c r="K1069" s="26"/>
    </row>
    <row r="1070" spans="1:11" x14ac:dyDescent="0.25">
      <c r="A1070" s="55"/>
      <c r="B1070" s="43">
        <v>9.15</v>
      </c>
      <c r="C1070" s="43" t="s">
        <v>1524</v>
      </c>
      <c r="D1070" s="43" t="s">
        <v>1644</v>
      </c>
      <c r="E1070" s="57" t="s">
        <v>1645</v>
      </c>
      <c r="F1070" s="43"/>
      <c r="G1070" s="57" t="s">
        <v>76</v>
      </c>
      <c r="H1070" s="43"/>
      <c r="I1070" s="26"/>
      <c r="J1070" s="26"/>
      <c r="K1070" s="26"/>
    </row>
    <row r="1071" spans="1:11" x14ac:dyDescent="0.25">
      <c r="A1071" s="55"/>
      <c r="B1071" s="43">
        <v>9.15</v>
      </c>
      <c r="C1071" s="43" t="s">
        <v>1524</v>
      </c>
      <c r="D1071" s="43" t="s">
        <v>1646</v>
      </c>
      <c r="E1071" s="57" t="s">
        <v>1647</v>
      </c>
      <c r="F1071" s="43"/>
      <c r="G1071" s="57" t="s">
        <v>76</v>
      </c>
      <c r="H1071" s="43"/>
      <c r="I1071" s="26"/>
      <c r="J1071" s="26"/>
      <c r="K1071" s="26"/>
    </row>
    <row r="1072" spans="1:11" x14ac:dyDescent="0.25">
      <c r="A1072" s="55"/>
      <c r="B1072" s="43">
        <v>9.15</v>
      </c>
      <c r="C1072" s="43" t="s">
        <v>1524</v>
      </c>
      <c r="D1072" s="43" t="s">
        <v>1648</v>
      </c>
      <c r="E1072" s="57" t="s">
        <v>1649</v>
      </c>
      <c r="F1072" s="43"/>
      <c r="G1072" s="57" t="s">
        <v>76</v>
      </c>
      <c r="H1072" s="43"/>
      <c r="I1072" s="26"/>
      <c r="J1072" s="26"/>
      <c r="K1072" s="26"/>
    </row>
    <row r="1073" spans="1:11" x14ac:dyDescent="0.25">
      <c r="A1073" s="55"/>
      <c r="B1073" s="43">
        <v>9.15</v>
      </c>
      <c r="C1073" s="43" t="s">
        <v>1524</v>
      </c>
      <c r="D1073" s="43" t="s">
        <v>1650</v>
      </c>
      <c r="E1073" s="57" t="s">
        <v>1651</v>
      </c>
      <c r="F1073" s="43"/>
      <c r="G1073" s="57" t="s">
        <v>76</v>
      </c>
      <c r="H1073" s="43"/>
      <c r="I1073" s="26"/>
      <c r="J1073" s="26"/>
      <c r="K1073" s="26"/>
    </row>
    <row r="1074" spans="1:11" x14ac:dyDescent="0.25">
      <c r="A1074" s="55"/>
      <c r="B1074" s="43">
        <v>9.15</v>
      </c>
      <c r="C1074" s="43" t="s">
        <v>1524</v>
      </c>
      <c r="D1074" s="43" t="s">
        <v>1652</v>
      </c>
      <c r="E1074" s="57" t="s">
        <v>1653</v>
      </c>
      <c r="F1074" s="43"/>
      <c r="G1074" s="57" t="s">
        <v>76</v>
      </c>
      <c r="H1074" s="43"/>
      <c r="I1074" s="26"/>
      <c r="J1074" s="26"/>
      <c r="K1074" s="26"/>
    </row>
    <row r="1075" spans="1:11" x14ac:dyDescent="0.25">
      <c r="A1075" s="55"/>
      <c r="B1075" s="43">
        <v>9.15</v>
      </c>
      <c r="C1075" s="43" t="s">
        <v>1524</v>
      </c>
      <c r="D1075" s="43" t="s">
        <v>1654</v>
      </c>
      <c r="E1075" s="57" t="s">
        <v>1655</v>
      </c>
      <c r="F1075" s="43"/>
      <c r="G1075" s="57" t="s">
        <v>76</v>
      </c>
      <c r="H1075" s="43"/>
      <c r="I1075" s="26"/>
      <c r="J1075" s="26"/>
      <c r="K1075" s="26"/>
    </row>
    <row r="1076" spans="1:11" x14ac:dyDescent="0.25">
      <c r="A1076" s="55"/>
      <c r="B1076" s="43">
        <v>9.15</v>
      </c>
      <c r="C1076" s="43" t="s">
        <v>1524</v>
      </c>
      <c r="D1076" s="43" t="s">
        <v>1656</v>
      </c>
      <c r="E1076" s="57" t="s">
        <v>1657</v>
      </c>
      <c r="F1076" s="43"/>
      <c r="G1076" s="57" t="s">
        <v>76</v>
      </c>
      <c r="H1076" s="43"/>
      <c r="I1076" s="26"/>
      <c r="J1076" s="26"/>
      <c r="K1076" s="26"/>
    </row>
    <row r="1077" spans="1:11" x14ac:dyDescent="0.25">
      <c r="A1077" s="55"/>
      <c r="B1077" s="43">
        <v>9.15</v>
      </c>
      <c r="C1077" s="43" t="s">
        <v>1524</v>
      </c>
      <c r="D1077" s="43" t="s">
        <v>1658</v>
      </c>
      <c r="E1077" s="57" t="s">
        <v>1659</v>
      </c>
      <c r="F1077" s="43"/>
      <c r="G1077" s="57" t="s">
        <v>76</v>
      </c>
      <c r="H1077" s="43"/>
      <c r="I1077" s="26"/>
      <c r="J1077" s="26"/>
      <c r="K1077" s="26"/>
    </row>
    <row r="1078" spans="1:11" x14ac:dyDescent="0.25">
      <c r="A1078" s="55"/>
      <c r="B1078" s="43">
        <v>9.15</v>
      </c>
      <c r="C1078" s="43" t="s">
        <v>1524</v>
      </c>
      <c r="D1078" s="43" t="s">
        <v>1660</v>
      </c>
      <c r="E1078" s="57" t="s">
        <v>1661</v>
      </c>
      <c r="F1078" s="43"/>
      <c r="G1078" s="57" t="s">
        <v>76</v>
      </c>
      <c r="H1078" s="43"/>
      <c r="I1078" s="26"/>
      <c r="J1078" s="26"/>
      <c r="K1078" s="26"/>
    </row>
    <row r="1079" spans="1:11" x14ac:dyDescent="0.25">
      <c r="A1079" s="55"/>
      <c r="B1079" s="43">
        <v>9.15</v>
      </c>
      <c r="C1079" s="43" t="s">
        <v>1524</v>
      </c>
      <c r="D1079" s="43" t="s">
        <v>1662</v>
      </c>
      <c r="E1079" s="57" t="s">
        <v>1663</v>
      </c>
      <c r="F1079" s="43"/>
      <c r="G1079" s="57" t="s">
        <v>76</v>
      </c>
      <c r="H1079" s="43"/>
      <c r="I1079" s="26"/>
      <c r="J1079" s="26"/>
      <c r="K1079" s="26"/>
    </row>
    <row r="1080" spans="1:11" x14ac:dyDescent="0.25">
      <c r="A1080" s="55"/>
      <c r="B1080" s="43">
        <v>9.15</v>
      </c>
      <c r="C1080" s="43" t="s">
        <v>1524</v>
      </c>
      <c r="D1080" s="43" t="s">
        <v>1664</v>
      </c>
      <c r="E1080" s="57" t="s">
        <v>1665</v>
      </c>
      <c r="F1080" s="43"/>
      <c r="G1080" s="57" t="s">
        <v>76</v>
      </c>
      <c r="H1080" s="43"/>
      <c r="I1080" s="26"/>
      <c r="J1080" s="26"/>
      <c r="K1080" s="26"/>
    </row>
    <row r="1081" spans="1:11" x14ac:dyDescent="0.25">
      <c r="A1081" s="55"/>
      <c r="B1081" s="43">
        <v>9.15</v>
      </c>
      <c r="C1081" s="43" t="s">
        <v>1524</v>
      </c>
      <c r="D1081" s="43" t="s">
        <v>1666</v>
      </c>
      <c r="E1081" s="57" t="s">
        <v>1667</v>
      </c>
      <c r="F1081" s="43"/>
      <c r="G1081" s="57" t="s">
        <v>76</v>
      </c>
      <c r="H1081" s="43"/>
      <c r="I1081" s="26"/>
      <c r="J1081" s="26"/>
      <c r="K1081" s="26"/>
    </row>
    <row r="1082" spans="1:11" x14ac:dyDescent="0.25">
      <c r="A1082" s="55"/>
      <c r="B1082" s="43">
        <v>9.15</v>
      </c>
      <c r="C1082" s="43" t="s">
        <v>1524</v>
      </c>
      <c r="D1082" s="43" t="s">
        <v>1668</v>
      </c>
      <c r="E1082" s="57" t="s">
        <v>1669</v>
      </c>
      <c r="F1082" s="43"/>
      <c r="G1082" s="57" t="s">
        <v>76</v>
      </c>
      <c r="H1082" s="43"/>
      <c r="I1082" s="26"/>
      <c r="J1082" s="26"/>
      <c r="K1082" s="26"/>
    </row>
    <row r="1083" spans="1:11" x14ac:dyDescent="0.25">
      <c r="A1083" s="55"/>
      <c r="B1083" s="43">
        <v>9.15</v>
      </c>
      <c r="C1083" s="43" t="s">
        <v>1524</v>
      </c>
      <c r="D1083" s="43" t="s">
        <v>1670</v>
      </c>
      <c r="E1083" s="57" t="s">
        <v>1671</v>
      </c>
      <c r="F1083" s="43"/>
      <c r="G1083" s="57" t="s">
        <v>76</v>
      </c>
      <c r="H1083" s="43"/>
      <c r="I1083" s="26"/>
      <c r="J1083" s="26"/>
      <c r="K1083" s="26"/>
    </row>
    <row r="1084" spans="1:11" x14ac:dyDescent="0.25">
      <c r="A1084" s="55"/>
      <c r="B1084" s="43">
        <v>9.15</v>
      </c>
      <c r="C1084" s="43" t="s">
        <v>1524</v>
      </c>
      <c r="D1084" s="43" t="s">
        <v>1672</v>
      </c>
      <c r="E1084" s="57" t="s">
        <v>1673</v>
      </c>
      <c r="F1084" s="43"/>
      <c r="G1084" s="57" t="s">
        <v>76</v>
      </c>
      <c r="H1084" s="43"/>
      <c r="I1084" s="26"/>
      <c r="J1084" s="26"/>
      <c r="K1084" s="26"/>
    </row>
    <row r="1085" spans="1:11" x14ac:dyDescent="0.25">
      <c r="A1085" s="55"/>
      <c r="B1085" s="43">
        <v>9.15</v>
      </c>
      <c r="C1085" s="43" t="s">
        <v>1524</v>
      </c>
      <c r="D1085" s="43" t="s">
        <v>1674</v>
      </c>
      <c r="E1085" s="57" t="s">
        <v>1675</v>
      </c>
      <c r="F1085" s="43"/>
      <c r="G1085" s="57" t="s">
        <v>76</v>
      </c>
      <c r="H1085" s="43"/>
      <c r="I1085" s="26"/>
      <c r="J1085" s="26"/>
      <c r="K1085" s="26"/>
    </row>
    <row r="1086" spans="1:11" x14ac:dyDescent="0.25">
      <c r="A1086" s="55"/>
      <c r="B1086" s="43">
        <v>9.15</v>
      </c>
      <c r="C1086" s="43" t="s">
        <v>1524</v>
      </c>
      <c r="D1086" s="43" t="s">
        <v>1676</v>
      </c>
      <c r="E1086" s="57" t="s">
        <v>1677</v>
      </c>
      <c r="F1086" s="43"/>
      <c r="G1086" s="57" t="s">
        <v>76</v>
      </c>
      <c r="H1086" s="43"/>
      <c r="I1086" s="26"/>
      <c r="J1086" s="26"/>
      <c r="K1086" s="26"/>
    </row>
    <row r="1087" spans="1:11" x14ac:dyDescent="0.25">
      <c r="A1087" s="55"/>
      <c r="B1087" s="43">
        <v>9.15</v>
      </c>
      <c r="C1087" s="43" t="s">
        <v>1524</v>
      </c>
      <c r="D1087" s="43" t="s">
        <v>1678</v>
      </c>
      <c r="E1087" s="57" t="s">
        <v>1679</v>
      </c>
      <c r="F1087" s="43"/>
      <c r="G1087" s="57" t="s">
        <v>76</v>
      </c>
      <c r="H1087" s="43"/>
      <c r="I1087" s="26"/>
      <c r="J1087" s="26"/>
      <c r="K1087" s="26"/>
    </row>
    <row r="1088" spans="1:11" x14ac:dyDescent="0.25">
      <c r="A1088" s="55"/>
      <c r="B1088" s="43">
        <v>9.15</v>
      </c>
      <c r="C1088" s="43" t="s">
        <v>1524</v>
      </c>
      <c r="D1088" s="43" t="s">
        <v>1680</v>
      </c>
      <c r="E1088" s="57" t="s">
        <v>1681</v>
      </c>
      <c r="F1088" s="43"/>
      <c r="G1088" s="57" t="s">
        <v>76</v>
      </c>
      <c r="H1088" s="43"/>
      <c r="I1088" s="26"/>
      <c r="J1088" s="26"/>
      <c r="K1088" s="26"/>
    </row>
    <row r="1089" spans="1:11" x14ac:dyDescent="0.25">
      <c r="A1089" s="55"/>
      <c r="B1089" s="43">
        <v>9.3000000000000007</v>
      </c>
      <c r="C1089" s="43" t="s">
        <v>1682</v>
      </c>
      <c r="D1089" s="43" t="s">
        <v>1683</v>
      </c>
      <c r="E1089" s="57" t="s">
        <v>1684</v>
      </c>
      <c r="F1089" s="43"/>
      <c r="G1089" s="57" t="s">
        <v>76</v>
      </c>
      <c r="H1089" s="26"/>
      <c r="I1089" s="26"/>
      <c r="J1089" s="26"/>
      <c r="K1089" s="26"/>
    </row>
    <row r="1090" spans="1:11" x14ac:dyDescent="0.25">
      <c r="A1090" s="55"/>
      <c r="B1090" s="43">
        <v>9.3000000000000007</v>
      </c>
      <c r="C1090" s="43" t="s">
        <v>1682</v>
      </c>
      <c r="D1090" s="43" t="s">
        <v>1685</v>
      </c>
      <c r="E1090" s="57" t="s">
        <v>1686</v>
      </c>
      <c r="F1090" s="43"/>
      <c r="G1090" s="57" t="s">
        <v>76</v>
      </c>
      <c r="H1090" s="26"/>
      <c r="I1090" s="26"/>
      <c r="J1090" s="26"/>
      <c r="K1090" s="26"/>
    </row>
    <row r="1091" spans="1:11" x14ac:dyDescent="0.25">
      <c r="A1091" s="55"/>
      <c r="B1091" s="43">
        <v>9.3000000000000007</v>
      </c>
      <c r="C1091" s="43" t="s">
        <v>1682</v>
      </c>
      <c r="D1091" s="43" t="s">
        <v>1685</v>
      </c>
      <c r="E1091" s="57" t="s">
        <v>1687</v>
      </c>
      <c r="F1091" s="43"/>
      <c r="G1091" s="57" t="s">
        <v>76</v>
      </c>
      <c r="H1091" s="26"/>
      <c r="I1091" s="26"/>
      <c r="J1091" s="26"/>
      <c r="K1091" s="26"/>
    </row>
    <row r="1092" spans="1:11" x14ac:dyDescent="0.25">
      <c r="A1092" s="55"/>
      <c r="B1092" s="43">
        <v>9.3000000000000007</v>
      </c>
      <c r="C1092" s="43" t="s">
        <v>1682</v>
      </c>
      <c r="D1092" s="43" t="s">
        <v>1688</v>
      </c>
      <c r="E1092" s="57" t="s">
        <v>1689</v>
      </c>
      <c r="F1092" s="43"/>
      <c r="G1092" s="57" t="s">
        <v>76</v>
      </c>
      <c r="H1092" s="26"/>
      <c r="I1092" s="26"/>
      <c r="J1092" s="26"/>
      <c r="K1092" s="26"/>
    </row>
    <row r="1093" spans="1:11" x14ac:dyDescent="0.25">
      <c r="A1093" s="55"/>
      <c r="B1093" s="43">
        <v>9.3000000000000007</v>
      </c>
      <c r="C1093" s="43" t="s">
        <v>1682</v>
      </c>
      <c r="D1093" s="43" t="s">
        <v>1685</v>
      </c>
      <c r="E1093" s="57" t="s">
        <v>1690</v>
      </c>
      <c r="F1093" s="43"/>
      <c r="G1093" s="57" t="s">
        <v>76</v>
      </c>
      <c r="H1093" s="26"/>
      <c r="I1093" s="26"/>
      <c r="J1093" s="26"/>
      <c r="K1093" s="26"/>
    </row>
    <row r="1094" spans="1:11" x14ac:dyDescent="0.25">
      <c r="A1094" s="55"/>
      <c r="B1094" s="43">
        <v>9.6999999999999993</v>
      </c>
      <c r="C1094" s="43" t="s">
        <v>192</v>
      </c>
      <c r="D1094" s="43" t="s">
        <v>1691</v>
      </c>
      <c r="E1094" s="57" t="s">
        <v>1692</v>
      </c>
      <c r="F1094" s="43"/>
      <c r="G1094" s="57" t="s">
        <v>76</v>
      </c>
      <c r="H1094" s="26"/>
      <c r="I1094" s="26"/>
      <c r="J1094" s="26"/>
      <c r="K1094" s="26"/>
    </row>
    <row r="1095" spans="1:11" x14ac:dyDescent="0.25">
      <c r="A1095" s="55"/>
      <c r="B1095" s="43">
        <v>9.6999999999999993</v>
      </c>
      <c r="C1095" s="43" t="s">
        <v>192</v>
      </c>
      <c r="D1095" s="43" t="s">
        <v>1693</v>
      </c>
      <c r="E1095" s="57" t="s">
        <v>1694</v>
      </c>
      <c r="F1095" s="43" t="s">
        <v>1695</v>
      </c>
      <c r="G1095" s="57" t="s">
        <v>126</v>
      </c>
      <c r="H1095" s="26"/>
      <c r="I1095" s="74">
        <v>43077</v>
      </c>
      <c r="J1095" s="26"/>
      <c r="K1095" s="26"/>
    </row>
    <row r="1096" spans="1:11" x14ac:dyDescent="0.25">
      <c r="A1096" s="55"/>
      <c r="B1096" s="43">
        <v>9.6999999999999993</v>
      </c>
      <c r="C1096" s="43" t="s">
        <v>192</v>
      </c>
      <c r="D1096" s="43" t="s">
        <v>1696</v>
      </c>
      <c r="E1096" s="57" t="s">
        <v>1697</v>
      </c>
      <c r="F1096" s="43"/>
      <c r="G1096" s="57" t="s">
        <v>76</v>
      </c>
      <c r="H1096" s="74"/>
      <c r="I1096" s="26"/>
      <c r="J1096" s="26"/>
      <c r="K1096" s="26" t="s">
        <v>331</v>
      </c>
    </row>
    <row r="1097" spans="1:11" x14ac:dyDescent="0.25">
      <c r="A1097" s="55"/>
      <c r="B1097" s="43">
        <v>9.6999999999999993</v>
      </c>
      <c r="C1097" s="43" t="s">
        <v>192</v>
      </c>
      <c r="D1097" s="43" t="s">
        <v>1698</v>
      </c>
      <c r="E1097" s="57" t="s">
        <v>1699</v>
      </c>
      <c r="F1097" s="43"/>
      <c r="G1097" s="57" t="s">
        <v>76</v>
      </c>
      <c r="H1097" s="74"/>
      <c r="I1097" s="26"/>
      <c r="J1097" s="26"/>
      <c r="K1097" s="26" t="s">
        <v>331</v>
      </c>
    </row>
    <row r="1098" spans="1:11" x14ac:dyDescent="0.25">
      <c r="A1098" s="55"/>
      <c r="B1098" s="43" t="s">
        <v>1700</v>
      </c>
      <c r="C1098" s="43" t="s">
        <v>1701</v>
      </c>
      <c r="D1098" s="43" t="s">
        <v>1702</v>
      </c>
      <c r="E1098" s="57" t="s">
        <v>1703</v>
      </c>
      <c r="F1098" s="43"/>
      <c r="G1098" s="57" t="s">
        <v>76</v>
      </c>
      <c r="H1098" s="26"/>
      <c r="I1098" s="26"/>
      <c r="J1098" s="26"/>
      <c r="K1098" s="26"/>
    </row>
    <row r="1099" spans="1:11" x14ac:dyDescent="0.25">
      <c r="A1099" s="55"/>
      <c r="B1099" s="43" t="s">
        <v>1700</v>
      </c>
      <c r="C1099" s="43" t="s">
        <v>1701</v>
      </c>
      <c r="D1099" s="43" t="s">
        <v>1704</v>
      </c>
      <c r="E1099" s="57" t="s">
        <v>1705</v>
      </c>
      <c r="F1099" s="43"/>
      <c r="G1099" s="57" t="s">
        <v>76</v>
      </c>
      <c r="H1099" s="26"/>
      <c r="I1099" s="26"/>
      <c r="J1099" s="26"/>
      <c r="K1099" s="26"/>
    </row>
    <row r="1100" spans="1:11" x14ac:dyDescent="0.25">
      <c r="A1100" s="55"/>
      <c r="B1100" s="43" t="s">
        <v>1700</v>
      </c>
      <c r="C1100" s="43" t="s">
        <v>1701</v>
      </c>
      <c r="D1100" s="43" t="s">
        <v>1706</v>
      </c>
      <c r="E1100" s="57" t="s">
        <v>1707</v>
      </c>
      <c r="F1100" s="43"/>
      <c r="G1100" s="57" t="s">
        <v>76</v>
      </c>
      <c r="H1100" s="26"/>
      <c r="I1100" s="26"/>
      <c r="J1100" s="26"/>
      <c r="K1100" s="26"/>
    </row>
    <row r="1101" spans="1:11" x14ac:dyDescent="0.25">
      <c r="A1101" s="55"/>
      <c r="B1101" s="43" t="s">
        <v>1700</v>
      </c>
      <c r="C1101" s="43" t="s">
        <v>1701</v>
      </c>
      <c r="D1101" s="43" t="s">
        <v>1708</v>
      </c>
      <c r="E1101" s="57" t="s">
        <v>1709</v>
      </c>
      <c r="F1101" s="43"/>
      <c r="G1101" s="57" t="s">
        <v>76</v>
      </c>
      <c r="H1101" s="26"/>
      <c r="I1101" s="26"/>
      <c r="J1101" s="26"/>
      <c r="K1101" s="26"/>
    </row>
    <row r="1102" spans="1:11" x14ac:dyDescent="0.25">
      <c r="A1102" s="55"/>
      <c r="B1102" s="43" t="s">
        <v>1700</v>
      </c>
      <c r="C1102" s="43" t="s">
        <v>1701</v>
      </c>
      <c r="D1102" s="43" t="s">
        <v>1710</v>
      </c>
      <c r="E1102" s="57" t="s">
        <v>1711</v>
      </c>
      <c r="F1102" s="43"/>
      <c r="G1102" s="57" t="s">
        <v>76</v>
      </c>
      <c r="H1102" s="26"/>
      <c r="I1102" s="26"/>
      <c r="J1102" s="26"/>
      <c r="K1102" s="26"/>
    </row>
    <row r="1103" spans="1:11" x14ac:dyDescent="0.25">
      <c r="A1103" s="55"/>
      <c r="B1103" s="43" t="s">
        <v>1700</v>
      </c>
      <c r="C1103" s="43" t="s">
        <v>1701</v>
      </c>
      <c r="D1103" s="43" t="s">
        <v>1712</v>
      </c>
      <c r="E1103" s="57" t="s">
        <v>1713</v>
      </c>
      <c r="F1103" s="43"/>
      <c r="G1103" s="57" t="s">
        <v>76</v>
      </c>
      <c r="H1103" s="26"/>
      <c r="I1103" s="26"/>
      <c r="J1103" s="26"/>
      <c r="K1103" s="26"/>
    </row>
    <row r="1104" spans="1:11" x14ac:dyDescent="0.25">
      <c r="A1104" s="55"/>
      <c r="B1104" s="43" t="s">
        <v>1700</v>
      </c>
      <c r="C1104" s="43" t="s">
        <v>1701</v>
      </c>
      <c r="D1104" s="43" t="s">
        <v>1702</v>
      </c>
      <c r="E1104" s="57" t="s">
        <v>1714</v>
      </c>
      <c r="F1104" s="43"/>
      <c r="G1104" s="57" t="s">
        <v>76</v>
      </c>
      <c r="H1104" s="26"/>
      <c r="I1104" s="26"/>
      <c r="J1104" s="26"/>
      <c r="K1104" s="26"/>
    </row>
    <row r="1105" spans="1:11" x14ac:dyDescent="0.25">
      <c r="A1105" s="55"/>
      <c r="B1105" s="43" t="s">
        <v>1700</v>
      </c>
      <c r="C1105" s="43" t="s">
        <v>1701</v>
      </c>
      <c r="D1105" s="43" t="s">
        <v>1715</v>
      </c>
      <c r="E1105" s="57" t="s">
        <v>1716</v>
      </c>
      <c r="F1105" s="43"/>
      <c r="G1105" s="57" t="s">
        <v>76</v>
      </c>
      <c r="H1105" s="26"/>
      <c r="I1105" s="26"/>
      <c r="J1105" s="26"/>
      <c r="K1105" s="26"/>
    </row>
    <row r="1106" spans="1:11" x14ac:dyDescent="0.25">
      <c r="A1106" s="55"/>
      <c r="B1106" s="43" t="s">
        <v>1700</v>
      </c>
      <c r="C1106" s="43" t="s">
        <v>1701</v>
      </c>
      <c r="D1106" s="43" t="s">
        <v>1706</v>
      </c>
      <c r="E1106" s="57" t="s">
        <v>1717</v>
      </c>
      <c r="F1106" s="43"/>
      <c r="G1106" s="57" t="s">
        <v>76</v>
      </c>
      <c r="H1106" s="26"/>
      <c r="I1106" s="26"/>
      <c r="J1106" s="26"/>
      <c r="K1106" s="26"/>
    </row>
    <row r="1107" spans="1:11" x14ac:dyDescent="0.25">
      <c r="A1107" s="55"/>
      <c r="B1107" s="43" t="s">
        <v>1700</v>
      </c>
      <c r="C1107" s="43" t="s">
        <v>1701</v>
      </c>
      <c r="D1107" s="43" t="s">
        <v>1718</v>
      </c>
      <c r="E1107" s="57" t="s">
        <v>1719</v>
      </c>
      <c r="F1107" s="43"/>
      <c r="G1107" s="57" t="s">
        <v>76</v>
      </c>
      <c r="H1107" s="26"/>
      <c r="I1107" s="26"/>
      <c r="J1107" s="26"/>
      <c r="K1107" s="26"/>
    </row>
    <row r="1108" spans="1:11" x14ac:dyDescent="0.25">
      <c r="A1108" s="55"/>
      <c r="B1108" s="43" t="s">
        <v>1700</v>
      </c>
      <c r="C1108" s="43" t="s">
        <v>1701</v>
      </c>
      <c r="D1108" s="43" t="s">
        <v>1720</v>
      </c>
      <c r="E1108" s="57" t="s">
        <v>1721</v>
      </c>
      <c r="F1108" s="43"/>
      <c r="G1108" s="57" t="s">
        <v>76</v>
      </c>
      <c r="H1108" s="26"/>
      <c r="I1108" s="26"/>
      <c r="J1108" s="26"/>
      <c r="K1108" s="26"/>
    </row>
    <row r="1109" spans="1:11" x14ac:dyDescent="0.25">
      <c r="A1109" s="55"/>
      <c r="B1109" s="43" t="s">
        <v>1700</v>
      </c>
      <c r="C1109" s="43" t="s">
        <v>1701</v>
      </c>
      <c r="D1109" s="43" t="s">
        <v>1712</v>
      </c>
      <c r="E1109" s="57" t="s">
        <v>1722</v>
      </c>
      <c r="F1109" s="43"/>
      <c r="G1109" s="57" t="s">
        <v>76</v>
      </c>
      <c r="H1109" s="26"/>
      <c r="I1109" s="26"/>
      <c r="J1109" s="26"/>
      <c r="K1109" s="26"/>
    </row>
    <row r="1110" spans="1:11" x14ac:dyDescent="0.25">
      <c r="A1110" s="55"/>
      <c r="B1110" s="43" t="s">
        <v>1700</v>
      </c>
      <c r="C1110" s="43" t="s">
        <v>1701</v>
      </c>
      <c r="D1110" s="43" t="s">
        <v>1723</v>
      </c>
      <c r="E1110" s="57" t="s">
        <v>1724</v>
      </c>
      <c r="F1110" s="43"/>
      <c r="G1110" s="57" t="s">
        <v>76</v>
      </c>
      <c r="H1110" s="26"/>
      <c r="I1110" s="26"/>
      <c r="J1110" s="26"/>
      <c r="K1110" s="26"/>
    </row>
    <row r="1111" spans="1:11" x14ac:dyDescent="0.25">
      <c r="A1111" s="55"/>
      <c r="B1111" s="43" t="s">
        <v>1700</v>
      </c>
      <c r="C1111" s="43" t="s">
        <v>1701</v>
      </c>
      <c r="D1111" s="43" t="s">
        <v>1723</v>
      </c>
      <c r="E1111" s="57" t="s">
        <v>1725</v>
      </c>
      <c r="F1111" s="43"/>
      <c r="G1111" s="57" t="s">
        <v>76</v>
      </c>
      <c r="H1111" s="26"/>
      <c r="I1111" s="26"/>
      <c r="J1111" s="26"/>
      <c r="K1111" s="26"/>
    </row>
    <row r="1112" spans="1:11" x14ac:dyDescent="0.25">
      <c r="A1112" s="55"/>
      <c r="B1112" s="43" t="s">
        <v>1700</v>
      </c>
      <c r="C1112" s="43" t="s">
        <v>1701</v>
      </c>
      <c r="D1112" s="43" t="s">
        <v>1726</v>
      </c>
      <c r="E1112" s="57" t="s">
        <v>1727</v>
      </c>
      <c r="F1112" s="43"/>
      <c r="G1112" s="57" t="s">
        <v>39</v>
      </c>
      <c r="H1112" s="26"/>
      <c r="I1112" s="26"/>
      <c r="J1112" s="26"/>
      <c r="K1112" s="26"/>
    </row>
    <row r="1113" spans="1:11" x14ac:dyDescent="0.25">
      <c r="A1113" s="55"/>
      <c r="B1113" s="43" t="s">
        <v>1728</v>
      </c>
      <c r="C1113" s="43" t="s">
        <v>1729</v>
      </c>
      <c r="D1113" s="43" t="s">
        <v>1730</v>
      </c>
      <c r="E1113" s="57" t="s">
        <v>1731</v>
      </c>
      <c r="F1113" s="43"/>
      <c r="G1113" s="57" t="s">
        <v>76</v>
      </c>
      <c r="H1113" s="43"/>
      <c r="I1113" s="26"/>
      <c r="J1113" s="26"/>
      <c r="K1113" s="26"/>
    </row>
    <row r="1114" spans="1:11" x14ac:dyDescent="0.25">
      <c r="A1114" s="55"/>
      <c r="B1114" s="43" t="s">
        <v>1728</v>
      </c>
      <c r="C1114" s="43" t="s">
        <v>1729</v>
      </c>
      <c r="D1114" s="43" t="s">
        <v>1732</v>
      </c>
      <c r="E1114" s="57" t="s">
        <v>1733</v>
      </c>
      <c r="F1114" s="43"/>
      <c r="G1114" s="57" t="s">
        <v>76</v>
      </c>
      <c r="H1114" s="43"/>
      <c r="I1114" s="26"/>
      <c r="J1114" s="26"/>
      <c r="K1114" s="26"/>
    </row>
    <row r="1115" spans="1:11" x14ac:dyDescent="0.25">
      <c r="A1115" s="55"/>
      <c r="B1115" s="43" t="s">
        <v>1728</v>
      </c>
      <c r="C1115" s="43" t="s">
        <v>1729</v>
      </c>
      <c r="D1115" s="43" t="s">
        <v>1734</v>
      </c>
      <c r="E1115" s="57" t="s">
        <v>1735</v>
      </c>
      <c r="F1115" s="43"/>
      <c r="G1115" s="57" t="s">
        <v>76</v>
      </c>
      <c r="H1115" s="43"/>
      <c r="I1115" s="26"/>
      <c r="J1115" s="26"/>
      <c r="K1115" s="26"/>
    </row>
    <row r="1116" spans="1:11" x14ac:dyDescent="0.25">
      <c r="A1116" s="55"/>
      <c r="B1116" s="43" t="s">
        <v>1728</v>
      </c>
      <c r="C1116" s="43" t="s">
        <v>1729</v>
      </c>
      <c r="D1116" s="43" t="s">
        <v>1736</v>
      </c>
      <c r="E1116" s="57" t="s">
        <v>1737</v>
      </c>
      <c r="F1116" s="43"/>
      <c r="G1116" s="57" t="s">
        <v>76</v>
      </c>
      <c r="H1116" s="43"/>
      <c r="I1116" s="26"/>
      <c r="J1116" s="26"/>
      <c r="K1116" s="26"/>
    </row>
    <row r="1117" spans="1:11" x14ac:dyDescent="0.25">
      <c r="A1117" s="55"/>
      <c r="B1117" s="43" t="s">
        <v>1728</v>
      </c>
      <c r="C1117" s="43" t="s">
        <v>1729</v>
      </c>
      <c r="D1117" s="43" t="s">
        <v>1736</v>
      </c>
      <c r="E1117" s="57" t="s">
        <v>1738</v>
      </c>
      <c r="F1117" s="43"/>
      <c r="G1117" s="57" t="s">
        <v>76</v>
      </c>
      <c r="H1117" s="43"/>
      <c r="I1117" s="26"/>
      <c r="J1117" s="26"/>
      <c r="K1117" s="26"/>
    </row>
    <row r="1118" spans="1:11" x14ac:dyDescent="0.25">
      <c r="A1118" s="55"/>
      <c r="B1118" s="43" t="s">
        <v>1728</v>
      </c>
      <c r="C1118" s="43" t="s">
        <v>1729</v>
      </c>
      <c r="D1118" s="43" t="s">
        <v>1736</v>
      </c>
      <c r="E1118" s="57" t="s">
        <v>1739</v>
      </c>
      <c r="F1118" s="43"/>
      <c r="G1118" s="57" t="s">
        <v>76</v>
      </c>
      <c r="H1118" s="43"/>
      <c r="I1118" s="26"/>
      <c r="J1118" s="26"/>
      <c r="K1118" s="26"/>
    </row>
    <row r="1119" spans="1:11" x14ac:dyDescent="0.25">
      <c r="A1119" s="55"/>
      <c r="B1119" s="43" t="s">
        <v>1728</v>
      </c>
      <c r="C1119" s="43" t="s">
        <v>1729</v>
      </c>
      <c r="D1119" s="43" t="s">
        <v>1736</v>
      </c>
      <c r="E1119" s="57" t="s">
        <v>1740</v>
      </c>
      <c r="F1119" s="43"/>
      <c r="G1119" s="57" t="s">
        <v>76</v>
      </c>
      <c r="H1119" s="43"/>
      <c r="I1119" s="26"/>
      <c r="J1119" s="26"/>
      <c r="K1119" s="26"/>
    </row>
    <row r="1120" spans="1:11" x14ac:dyDescent="0.25">
      <c r="A1120" s="55"/>
      <c r="B1120" s="43" t="s">
        <v>1728</v>
      </c>
      <c r="C1120" s="43" t="s">
        <v>1729</v>
      </c>
      <c r="D1120" s="43" t="s">
        <v>1736</v>
      </c>
      <c r="E1120" s="57" t="s">
        <v>1741</v>
      </c>
      <c r="F1120" s="43"/>
      <c r="G1120" s="57" t="s">
        <v>76</v>
      </c>
      <c r="H1120" s="43"/>
      <c r="I1120" s="26"/>
      <c r="J1120" s="26"/>
      <c r="K1120" s="26"/>
    </row>
    <row r="1121" spans="1:11" x14ac:dyDescent="0.25">
      <c r="A1121" s="55"/>
      <c r="B1121" s="43" t="s">
        <v>1728</v>
      </c>
      <c r="C1121" s="43" t="s">
        <v>1729</v>
      </c>
      <c r="D1121" s="43" t="s">
        <v>1736</v>
      </c>
      <c r="E1121" s="57" t="s">
        <v>1742</v>
      </c>
      <c r="F1121" s="43"/>
      <c r="G1121" s="57" t="s">
        <v>76</v>
      </c>
      <c r="H1121" s="43"/>
      <c r="I1121" s="26"/>
      <c r="J1121" s="26"/>
      <c r="K1121" s="26"/>
    </row>
    <row r="1122" spans="1:11" x14ac:dyDescent="0.25">
      <c r="A1122" s="55"/>
      <c r="B1122" s="43" t="s">
        <v>1728</v>
      </c>
      <c r="C1122" s="43" t="s">
        <v>1729</v>
      </c>
      <c r="D1122" s="43" t="s">
        <v>1736</v>
      </c>
      <c r="E1122" s="57" t="s">
        <v>1743</v>
      </c>
      <c r="F1122" s="43"/>
      <c r="G1122" s="57" t="s">
        <v>76</v>
      </c>
      <c r="H1122" s="43"/>
      <c r="I1122" s="26"/>
      <c r="J1122" s="26"/>
      <c r="K1122" s="26"/>
    </row>
    <row r="1123" spans="1:11" x14ac:dyDescent="0.25">
      <c r="A1123" s="55"/>
      <c r="B1123" s="43" t="s">
        <v>1728</v>
      </c>
      <c r="C1123" s="43" t="s">
        <v>1729</v>
      </c>
      <c r="D1123" s="43" t="s">
        <v>1736</v>
      </c>
      <c r="E1123" s="57" t="s">
        <v>1744</v>
      </c>
      <c r="F1123" s="43"/>
      <c r="G1123" s="57" t="s">
        <v>76</v>
      </c>
      <c r="H1123" s="43"/>
      <c r="I1123" s="26"/>
      <c r="J1123" s="26"/>
      <c r="K1123" s="26"/>
    </row>
    <row r="1124" spans="1:11" x14ac:dyDescent="0.25">
      <c r="A1124" s="55"/>
      <c r="B1124" s="43" t="s">
        <v>1728</v>
      </c>
      <c r="C1124" s="43" t="s">
        <v>1729</v>
      </c>
      <c r="D1124" s="43" t="s">
        <v>1736</v>
      </c>
      <c r="E1124" s="57" t="s">
        <v>1745</v>
      </c>
      <c r="F1124" s="43"/>
      <c r="G1124" s="57" t="s">
        <v>76</v>
      </c>
      <c r="H1124" s="43"/>
      <c r="I1124" s="26"/>
      <c r="J1124" s="26"/>
      <c r="K1124" s="26"/>
    </row>
    <row r="1125" spans="1:11" x14ac:dyDescent="0.25">
      <c r="A1125" s="55"/>
      <c r="B1125" s="43" t="s">
        <v>1728</v>
      </c>
      <c r="C1125" s="43" t="s">
        <v>1729</v>
      </c>
      <c r="D1125" s="43" t="s">
        <v>1736</v>
      </c>
      <c r="E1125" s="57" t="s">
        <v>1746</v>
      </c>
      <c r="F1125" s="43"/>
      <c r="G1125" s="57" t="s">
        <v>76</v>
      </c>
      <c r="H1125" s="43"/>
      <c r="I1125" s="26"/>
      <c r="J1125" s="26"/>
      <c r="K1125" s="26"/>
    </row>
    <row r="1126" spans="1:11" x14ac:dyDescent="0.25">
      <c r="A1126" s="55"/>
      <c r="B1126" s="43" t="s">
        <v>1728</v>
      </c>
      <c r="C1126" s="43" t="s">
        <v>1729</v>
      </c>
      <c r="D1126" s="43" t="s">
        <v>1736</v>
      </c>
      <c r="E1126" s="57" t="s">
        <v>1747</v>
      </c>
      <c r="F1126" s="43"/>
      <c r="G1126" s="57" t="s">
        <v>76</v>
      </c>
      <c r="H1126" s="43"/>
      <c r="I1126" s="26"/>
      <c r="J1126" s="26"/>
      <c r="K1126" s="26"/>
    </row>
    <row r="1127" spans="1:11" x14ac:dyDescent="0.25">
      <c r="A1127" s="55"/>
      <c r="B1127" s="43" t="s">
        <v>1728</v>
      </c>
      <c r="C1127" s="43" t="s">
        <v>1729</v>
      </c>
      <c r="D1127" s="43" t="s">
        <v>1736</v>
      </c>
      <c r="E1127" s="57" t="s">
        <v>1748</v>
      </c>
      <c r="F1127" s="43"/>
      <c r="G1127" s="57" t="s">
        <v>76</v>
      </c>
      <c r="H1127" s="43"/>
      <c r="I1127" s="26"/>
      <c r="J1127" s="26"/>
      <c r="K1127" s="26"/>
    </row>
    <row r="1128" spans="1:11" x14ac:dyDescent="0.25">
      <c r="A1128" s="55"/>
      <c r="B1128" s="43" t="s">
        <v>1728</v>
      </c>
      <c r="C1128" s="43" t="s">
        <v>1729</v>
      </c>
      <c r="D1128" s="43" t="s">
        <v>1736</v>
      </c>
      <c r="E1128" s="57" t="s">
        <v>1749</v>
      </c>
      <c r="F1128" s="43"/>
      <c r="G1128" s="57" t="s">
        <v>76</v>
      </c>
      <c r="H1128" s="43"/>
      <c r="I1128" s="26"/>
      <c r="J1128" s="26"/>
      <c r="K1128" s="26"/>
    </row>
    <row r="1129" spans="1:11" x14ac:dyDescent="0.25">
      <c r="A1129" s="55"/>
      <c r="B1129" s="43" t="s">
        <v>1728</v>
      </c>
      <c r="C1129" s="43" t="s">
        <v>1729</v>
      </c>
      <c r="D1129" s="43" t="s">
        <v>1736</v>
      </c>
      <c r="E1129" s="57" t="s">
        <v>1750</v>
      </c>
      <c r="F1129" s="43"/>
      <c r="G1129" s="57" t="s">
        <v>76</v>
      </c>
      <c r="H1129" s="43"/>
      <c r="I1129" s="26"/>
      <c r="J1129" s="26"/>
      <c r="K1129" s="26"/>
    </row>
    <row r="1130" spans="1:11" x14ac:dyDescent="0.25">
      <c r="A1130" s="55"/>
      <c r="B1130" s="43" t="s">
        <v>1728</v>
      </c>
      <c r="C1130" s="43" t="s">
        <v>1729</v>
      </c>
      <c r="D1130" s="43" t="s">
        <v>1736</v>
      </c>
      <c r="E1130" s="57" t="s">
        <v>1751</v>
      </c>
      <c r="F1130" s="43"/>
      <c r="G1130" s="57" t="s">
        <v>76</v>
      </c>
      <c r="H1130" s="43"/>
      <c r="I1130" s="26"/>
      <c r="J1130" s="26"/>
      <c r="K1130" s="26"/>
    </row>
    <row r="1131" spans="1:11" x14ac:dyDescent="0.25">
      <c r="A1131" s="55"/>
      <c r="B1131" s="43" t="s">
        <v>1728</v>
      </c>
      <c r="C1131" s="43" t="s">
        <v>1752</v>
      </c>
      <c r="D1131" s="43" t="s">
        <v>1753</v>
      </c>
      <c r="E1131" s="57" t="s">
        <v>1754</v>
      </c>
      <c r="F1131" s="43"/>
      <c r="G1131" s="57" t="s">
        <v>76</v>
      </c>
      <c r="H1131" s="43"/>
      <c r="I1131" s="26"/>
      <c r="J1131" s="26"/>
      <c r="K1131" s="26"/>
    </row>
    <row r="1132" spans="1:11" x14ac:dyDescent="0.25">
      <c r="A1132" s="55"/>
      <c r="B1132" s="43" t="s">
        <v>1728</v>
      </c>
      <c r="C1132" s="43" t="s">
        <v>1752</v>
      </c>
      <c r="D1132" s="43" t="s">
        <v>1755</v>
      </c>
      <c r="E1132" s="57" t="s">
        <v>1756</v>
      </c>
      <c r="F1132" s="43"/>
      <c r="G1132" s="57" t="s">
        <v>76</v>
      </c>
      <c r="H1132" s="43"/>
      <c r="I1132" s="26"/>
      <c r="J1132" s="26"/>
      <c r="K1132" s="26"/>
    </row>
    <row r="1133" spans="1:11" x14ac:dyDescent="0.25">
      <c r="A1133" s="55"/>
      <c r="B1133" s="43" t="s">
        <v>1728</v>
      </c>
      <c r="C1133" s="43" t="s">
        <v>1752</v>
      </c>
      <c r="D1133" s="43" t="s">
        <v>1757</v>
      </c>
      <c r="E1133" s="57" t="s">
        <v>1758</v>
      </c>
      <c r="F1133" s="43"/>
      <c r="G1133" s="57" t="s">
        <v>76</v>
      </c>
      <c r="H1133" s="43"/>
      <c r="I1133" s="26"/>
      <c r="J1133" s="26"/>
      <c r="K1133" s="26"/>
    </row>
    <row r="1134" spans="1:11" x14ac:dyDescent="0.25">
      <c r="A1134" s="55"/>
      <c r="B1134" s="43" t="s">
        <v>1728</v>
      </c>
      <c r="C1134" s="43" t="s">
        <v>1752</v>
      </c>
      <c r="D1134" s="43" t="s">
        <v>1759</v>
      </c>
      <c r="E1134" s="57" t="s">
        <v>1760</v>
      </c>
      <c r="F1134" s="43"/>
      <c r="G1134" s="57" t="s">
        <v>76</v>
      </c>
      <c r="H1134" s="43"/>
      <c r="I1134" s="26"/>
      <c r="J1134" s="26"/>
      <c r="K1134" s="26"/>
    </row>
    <row r="1135" spans="1:11" x14ac:dyDescent="0.25">
      <c r="A1135" s="55"/>
      <c r="B1135" s="43" t="s">
        <v>1728</v>
      </c>
      <c r="C1135" s="43" t="s">
        <v>1752</v>
      </c>
      <c r="D1135" s="43" t="s">
        <v>1761</v>
      </c>
      <c r="E1135" s="57" t="s">
        <v>1762</v>
      </c>
      <c r="F1135" s="43"/>
      <c r="G1135" s="57" t="s">
        <v>76</v>
      </c>
      <c r="H1135" s="43"/>
      <c r="I1135" s="26"/>
      <c r="J1135" s="26"/>
      <c r="K1135" s="26"/>
    </row>
    <row r="1136" spans="1:11" x14ac:dyDescent="0.25">
      <c r="A1136" s="55"/>
      <c r="B1136" s="43" t="s">
        <v>1728</v>
      </c>
      <c r="C1136" s="43" t="s">
        <v>1752</v>
      </c>
      <c r="D1136" s="43" t="s">
        <v>1763</v>
      </c>
      <c r="E1136" s="57" t="s">
        <v>1764</v>
      </c>
      <c r="F1136" s="43"/>
      <c r="G1136" s="57" t="s">
        <v>76</v>
      </c>
      <c r="H1136" s="43"/>
      <c r="I1136" s="26"/>
      <c r="J1136" s="26"/>
      <c r="K1136" s="26"/>
    </row>
    <row r="1137" spans="1:11" x14ac:dyDescent="0.25">
      <c r="A1137" s="55"/>
      <c r="B1137" s="43" t="s">
        <v>1728</v>
      </c>
      <c r="C1137" s="43" t="s">
        <v>1752</v>
      </c>
      <c r="D1137" s="43" t="s">
        <v>1765</v>
      </c>
      <c r="E1137" s="57" t="s">
        <v>1766</v>
      </c>
      <c r="F1137" s="43"/>
      <c r="G1137" s="57" t="s">
        <v>76</v>
      </c>
      <c r="H1137" s="43"/>
      <c r="I1137" s="26"/>
      <c r="J1137" s="26"/>
      <c r="K1137" s="26"/>
    </row>
    <row r="1138" spans="1:11" x14ac:dyDescent="0.25">
      <c r="A1138" s="55"/>
      <c r="B1138" s="43" t="s">
        <v>1728</v>
      </c>
      <c r="C1138" s="43" t="s">
        <v>1752</v>
      </c>
      <c r="D1138" s="43" t="s">
        <v>1767</v>
      </c>
      <c r="E1138" s="57" t="s">
        <v>1768</v>
      </c>
      <c r="F1138" s="43"/>
      <c r="G1138" s="57" t="s">
        <v>76</v>
      </c>
      <c r="H1138" s="43"/>
      <c r="I1138" s="26"/>
      <c r="J1138" s="26"/>
      <c r="K1138" s="26"/>
    </row>
    <row r="1139" spans="1:11" x14ac:dyDescent="0.25">
      <c r="A1139" s="55"/>
      <c r="B1139" s="43" t="s">
        <v>1728</v>
      </c>
      <c r="C1139" s="43" t="s">
        <v>1752</v>
      </c>
      <c r="D1139" s="43" t="s">
        <v>1769</v>
      </c>
      <c r="E1139" s="57" t="s">
        <v>1770</v>
      </c>
      <c r="F1139" s="43"/>
      <c r="G1139" s="57" t="s">
        <v>76</v>
      </c>
      <c r="H1139" s="43"/>
      <c r="I1139" s="26"/>
      <c r="J1139" s="26"/>
      <c r="K1139" s="26"/>
    </row>
    <row r="1140" spans="1:11" x14ac:dyDescent="0.25">
      <c r="A1140" s="55"/>
      <c r="B1140" s="43" t="s">
        <v>1728</v>
      </c>
      <c r="C1140" s="43" t="s">
        <v>1752</v>
      </c>
      <c r="D1140" s="43" t="s">
        <v>1771</v>
      </c>
      <c r="E1140" s="57" t="s">
        <v>1772</v>
      </c>
      <c r="F1140" s="43"/>
      <c r="G1140" s="57" t="s">
        <v>76</v>
      </c>
      <c r="H1140" s="43"/>
      <c r="I1140" s="26"/>
      <c r="J1140" s="26"/>
      <c r="K1140" s="26"/>
    </row>
    <row r="1141" spans="1:11" x14ac:dyDescent="0.25">
      <c r="A1141" s="55"/>
      <c r="B1141" s="43" t="s">
        <v>1728</v>
      </c>
      <c r="C1141" s="43" t="s">
        <v>1752</v>
      </c>
      <c r="D1141" s="43" t="s">
        <v>1773</v>
      </c>
      <c r="E1141" s="57" t="s">
        <v>1774</v>
      </c>
      <c r="F1141" s="43"/>
      <c r="G1141" s="57" t="s">
        <v>76</v>
      </c>
      <c r="H1141" s="43"/>
      <c r="I1141" s="26"/>
      <c r="J1141" s="26"/>
      <c r="K1141" s="26"/>
    </row>
    <row r="1142" spans="1:11" x14ac:dyDescent="0.25">
      <c r="A1142" s="55"/>
      <c r="B1142" s="43" t="s">
        <v>1728</v>
      </c>
      <c r="C1142" s="43" t="s">
        <v>1752</v>
      </c>
      <c r="D1142" s="43" t="s">
        <v>1775</v>
      </c>
      <c r="E1142" s="57" t="s">
        <v>1776</v>
      </c>
      <c r="F1142" s="43"/>
      <c r="G1142" s="57" t="s">
        <v>76</v>
      </c>
      <c r="H1142" s="43"/>
      <c r="I1142" s="26"/>
      <c r="J1142" s="26"/>
      <c r="K1142" s="26"/>
    </row>
    <row r="1143" spans="1:11" x14ac:dyDescent="0.25">
      <c r="A1143" s="55"/>
      <c r="B1143" s="43" t="s">
        <v>1728</v>
      </c>
      <c r="C1143" s="43" t="s">
        <v>1752</v>
      </c>
      <c r="D1143" s="43" t="s">
        <v>1777</v>
      </c>
      <c r="E1143" s="57" t="s">
        <v>1778</v>
      </c>
      <c r="F1143" s="43"/>
      <c r="G1143" s="57" t="s">
        <v>76</v>
      </c>
      <c r="H1143" s="43"/>
      <c r="I1143" s="26"/>
      <c r="J1143" s="26"/>
      <c r="K1143" s="26"/>
    </row>
    <row r="1144" spans="1:11" x14ac:dyDescent="0.25">
      <c r="A1144" s="55"/>
      <c r="B1144" s="43" t="s">
        <v>1728</v>
      </c>
      <c r="C1144" s="43" t="s">
        <v>1752</v>
      </c>
      <c r="D1144" s="43" t="s">
        <v>1777</v>
      </c>
      <c r="E1144" s="57" t="s">
        <v>1779</v>
      </c>
      <c r="F1144" s="43"/>
      <c r="G1144" s="57" t="s">
        <v>76</v>
      </c>
      <c r="H1144" s="43"/>
      <c r="I1144" s="26"/>
      <c r="J1144" s="26"/>
      <c r="K1144" s="26"/>
    </row>
    <row r="1145" spans="1:11" x14ac:dyDescent="0.25">
      <c r="A1145" s="55"/>
      <c r="B1145" s="43" t="s">
        <v>1728</v>
      </c>
      <c r="C1145" s="43" t="s">
        <v>1752</v>
      </c>
      <c r="D1145" s="43" t="s">
        <v>1780</v>
      </c>
      <c r="E1145" s="57" t="s">
        <v>1781</v>
      </c>
      <c r="F1145" s="43"/>
      <c r="G1145" s="57" t="s">
        <v>76</v>
      </c>
      <c r="H1145" s="43"/>
      <c r="I1145" s="26"/>
      <c r="J1145" s="26"/>
      <c r="K1145" s="26"/>
    </row>
    <row r="1146" spans="1:11" x14ac:dyDescent="0.25">
      <c r="A1146" s="55"/>
      <c r="B1146" s="43" t="s">
        <v>1728</v>
      </c>
      <c r="C1146" s="43" t="s">
        <v>1752</v>
      </c>
      <c r="D1146" s="43" t="s">
        <v>1782</v>
      </c>
      <c r="E1146" s="57" t="s">
        <v>1783</v>
      </c>
      <c r="F1146" s="43"/>
      <c r="G1146" s="57" t="s">
        <v>76</v>
      </c>
      <c r="H1146" s="43"/>
      <c r="I1146" s="26"/>
      <c r="J1146" s="26"/>
      <c r="K1146" s="26"/>
    </row>
    <row r="1147" spans="1:11" x14ac:dyDescent="0.25">
      <c r="A1147" s="55"/>
      <c r="B1147" s="43" t="s">
        <v>1728</v>
      </c>
      <c r="C1147" s="43" t="s">
        <v>1752</v>
      </c>
      <c r="D1147" s="43" t="s">
        <v>1784</v>
      </c>
      <c r="E1147" s="57" t="s">
        <v>1785</v>
      </c>
      <c r="F1147" s="43"/>
      <c r="G1147" s="57" t="s">
        <v>76</v>
      </c>
      <c r="H1147" s="43"/>
      <c r="I1147" s="26"/>
      <c r="J1147" s="26"/>
      <c r="K1147" s="26"/>
    </row>
    <row r="1148" spans="1:11" x14ac:dyDescent="0.25">
      <c r="A1148" s="55"/>
      <c r="B1148" s="43" t="s">
        <v>1728</v>
      </c>
      <c r="C1148" s="43" t="s">
        <v>1752</v>
      </c>
      <c r="D1148" s="43" t="s">
        <v>1786</v>
      </c>
      <c r="E1148" s="57" t="s">
        <v>1787</v>
      </c>
      <c r="F1148" s="43"/>
      <c r="G1148" s="57" t="s">
        <v>76</v>
      </c>
      <c r="H1148" s="43"/>
      <c r="I1148" s="26"/>
      <c r="J1148" s="26"/>
      <c r="K1148" s="26"/>
    </row>
    <row r="1149" spans="1:11" x14ac:dyDescent="0.25">
      <c r="A1149" s="55"/>
      <c r="B1149" s="43" t="s">
        <v>1728</v>
      </c>
      <c r="C1149" s="43" t="s">
        <v>1752</v>
      </c>
      <c r="D1149" s="43" t="s">
        <v>1788</v>
      </c>
      <c r="E1149" s="57" t="s">
        <v>1785</v>
      </c>
      <c r="F1149" s="43"/>
      <c r="G1149" s="57" t="s">
        <v>76</v>
      </c>
      <c r="H1149" s="43"/>
      <c r="I1149" s="26"/>
      <c r="J1149" s="26"/>
      <c r="K1149" s="26"/>
    </row>
    <row r="1150" spans="1:11" x14ac:dyDescent="0.25">
      <c r="A1150" s="55"/>
      <c r="B1150" s="43" t="s">
        <v>1728</v>
      </c>
      <c r="C1150" s="43" t="s">
        <v>1752</v>
      </c>
      <c r="D1150" s="43" t="s">
        <v>1789</v>
      </c>
      <c r="E1150" s="57" t="s">
        <v>1790</v>
      </c>
      <c r="F1150" s="43"/>
      <c r="G1150" s="57" t="s">
        <v>76</v>
      </c>
      <c r="H1150" s="43"/>
      <c r="I1150" s="26"/>
      <c r="J1150" s="26"/>
      <c r="K1150" s="26"/>
    </row>
    <row r="1151" spans="1:11" x14ac:dyDescent="0.25">
      <c r="A1151" s="55"/>
      <c r="B1151" s="43" t="s">
        <v>1728</v>
      </c>
      <c r="C1151" s="43" t="s">
        <v>1752</v>
      </c>
      <c r="D1151" s="43" t="s">
        <v>1791</v>
      </c>
      <c r="E1151" s="57" t="s">
        <v>1792</v>
      </c>
      <c r="F1151" s="43"/>
      <c r="G1151" s="57" t="s">
        <v>76</v>
      </c>
      <c r="H1151" s="43"/>
      <c r="I1151" s="26"/>
      <c r="J1151" s="26"/>
      <c r="K1151" s="26"/>
    </row>
    <row r="1152" spans="1:11" x14ac:dyDescent="0.25">
      <c r="A1152" s="55"/>
      <c r="B1152" s="43" t="s">
        <v>1728</v>
      </c>
      <c r="C1152" s="43" t="s">
        <v>1752</v>
      </c>
      <c r="D1152" s="43" t="s">
        <v>1793</v>
      </c>
      <c r="E1152" s="57" t="s">
        <v>1794</v>
      </c>
      <c r="F1152" s="43"/>
      <c r="G1152" s="57" t="s">
        <v>76</v>
      </c>
      <c r="H1152" s="43"/>
      <c r="I1152" s="26"/>
      <c r="J1152" s="26"/>
      <c r="K1152" s="26"/>
    </row>
    <row r="1153" spans="1:11" x14ac:dyDescent="0.25">
      <c r="A1153" s="55"/>
      <c r="B1153" s="43" t="s">
        <v>1728</v>
      </c>
      <c r="C1153" s="43" t="s">
        <v>1752</v>
      </c>
      <c r="D1153" s="43" t="s">
        <v>1795</v>
      </c>
      <c r="E1153" s="57" t="s">
        <v>1796</v>
      </c>
      <c r="F1153" s="43"/>
      <c r="G1153" s="57" t="s">
        <v>76</v>
      </c>
      <c r="H1153" s="43"/>
      <c r="I1153" s="26"/>
      <c r="J1153" s="26"/>
      <c r="K1153" s="26"/>
    </row>
    <row r="1154" spans="1:11" x14ac:dyDescent="0.25">
      <c r="A1154" s="55"/>
      <c r="B1154" s="43" t="s">
        <v>1728</v>
      </c>
      <c r="C1154" s="43" t="s">
        <v>1752</v>
      </c>
      <c r="D1154" s="43" t="s">
        <v>1797</v>
      </c>
      <c r="E1154" s="57" t="s">
        <v>1798</v>
      </c>
      <c r="F1154" s="43"/>
      <c r="G1154" s="57" t="s">
        <v>76</v>
      </c>
      <c r="H1154" s="43"/>
      <c r="I1154" s="26"/>
      <c r="J1154" s="26"/>
      <c r="K1154" s="26"/>
    </row>
    <row r="1155" spans="1:11" x14ac:dyDescent="0.25">
      <c r="A1155" s="55"/>
      <c r="B1155" s="43" t="s">
        <v>1728</v>
      </c>
      <c r="C1155" s="43" t="s">
        <v>1752</v>
      </c>
      <c r="D1155" s="43" t="s">
        <v>1799</v>
      </c>
      <c r="E1155" s="57" t="s">
        <v>1800</v>
      </c>
      <c r="F1155" s="43"/>
      <c r="G1155" s="57" t="s">
        <v>76</v>
      </c>
      <c r="H1155" s="43"/>
      <c r="I1155" s="26"/>
      <c r="J1155" s="26"/>
      <c r="K1155" s="26"/>
    </row>
    <row r="1156" spans="1:11" x14ac:dyDescent="0.25">
      <c r="A1156" s="55"/>
      <c r="B1156" s="43" t="s">
        <v>1728</v>
      </c>
      <c r="C1156" s="43" t="s">
        <v>1752</v>
      </c>
      <c r="D1156" s="43" t="s">
        <v>1765</v>
      </c>
      <c r="E1156" s="57" t="s">
        <v>1801</v>
      </c>
      <c r="F1156" s="43"/>
      <c r="G1156" s="57" t="s">
        <v>76</v>
      </c>
      <c r="H1156" s="43"/>
      <c r="I1156" s="26"/>
      <c r="J1156" s="26"/>
      <c r="K1156" s="26"/>
    </row>
    <row r="1157" spans="1:11" x14ac:dyDescent="0.25">
      <c r="A1157" s="55"/>
      <c r="B1157" s="43" t="s">
        <v>1728</v>
      </c>
      <c r="C1157" s="43" t="s">
        <v>1752</v>
      </c>
      <c r="D1157" s="43" t="s">
        <v>1802</v>
      </c>
      <c r="E1157" s="57" t="s">
        <v>1803</v>
      </c>
      <c r="F1157" s="43"/>
      <c r="G1157" s="57" t="s">
        <v>76</v>
      </c>
      <c r="H1157" s="43"/>
      <c r="I1157" s="26"/>
      <c r="J1157" s="26"/>
      <c r="K1157" s="26"/>
    </row>
    <row r="1158" spans="1:11" x14ac:dyDescent="0.25">
      <c r="A1158" s="55"/>
      <c r="B1158" s="43" t="s">
        <v>1728</v>
      </c>
      <c r="C1158" s="43" t="s">
        <v>1752</v>
      </c>
      <c r="D1158" s="43" t="s">
        <v>1804</v>
      </c>
      <c r="E1158" s="57" t="s">
        <v>1805</v>
      </c>
      <c r="F1158" s="43"/>
      <c r="G1158" s="57" t="s">
        <v>76</v>
      </c>
      <c r="H1158" s="43"/>
      <c r="I1158" s="26"/>
      <c r="J1158" s="26"/>
      <c r="K1158" s="26"/>
    </row>
    <row r="1159" spans="1:11" x14ac:dyDescent="0.25">
      <c r="A1159" s="55"/>
      <c r="B1159" s="43" t="s">
        <v>1728</v>
      </c>
      <c r="C1159" s="43" t="s">
        <v>1752</v>
      </c>
      <c r="D1159" s="43" t="s">
        <v>1782</v>
      </c>
      <c r="E1159" s="57" t="s">
        <v>1806</v>
      </c>
      <c r="F1159" s="43"/>
      <c r="G1159" s="57" t="s">
        <v>76</v>
      </c>
      <c r="H1159" s="43"/>
      <c r="I1159" s="26"/>
      <c r="J1159" s="26"/>
      <c r="K1159" s="26"/>
    </row>
    <row r="1160" spans="1:11" x14ac:dyDescent="0.25">
      <c r="A1160" s="55"/>
      <c r="B1160" s="43" t="s">
        <v>1728</v>
      </c>
      <c r="C1160" s="43" t="s">
        <v>1752</v>
      </c>
      <c r="D1160" s="43" t="s">
        <v>1784</v>
      </c>
      <c r="E1160" s="57" t="s">
        <v>1807</v>
      </c>
      <c r="F1160" s="43"/>
      <c r="G1160" s="57" t="s">
        <v>76</v>
      </c>
      <c r="H1160" s="43"/>
      <c r="I1160" s="26"/>
      <c r="J1160" s="26"/>
      <c r="K1160" s="26"/>
    </row>
    <row r="1161" spans="1:11" x14ac:dyDescent="0.25">
      <c r="A1161" s="55"/>
      <c r="B1161" s="43" t="s">
        <v>1728</v>
      </c>
      <c r="C1161" s="43" t="s">
        <v>1752</v>
      </c>
      <c r="D1161" s="43" t="s">
        <v>1786</v>
      </c>
      <c r="E1161" s="57" t="s">
        <v>1808</v>
      </c>
      <c r="F1161" s="43"/>
      <c r="G1161" s="57" t="s">
        <v>76</v>
      </c>
      <c r="H1161" s="43"/>
      <c r="I1161" s="26"/>
      <c r="J1161" s="26"/>
      <c r="K1161" s="26"/>
    </row>
    <row r="1162" spans="1:11" x14ac:dyDescent="0.25">
      <c r="A1162" s="55"/>
      <c r="B1162" s="43" t="s">
        <v>1728</v>
      </c>
      <c r="C1162" s="43" t="s">
        <v>1752</v>
      </c>
      <c r="D1162" s="43" t="s">
        <v>1809</v>
      </c>
      <c r="E1162" s="57" t="s">
        <v>1810</v>
      </c>
      <c r="F1162" s="43"/>
      <c r="G1162" s="57" t="s">
        <v>76</v>
      </c>
      <c r="H1162" s="43"/>
      <c r="I1162" s="26"/>
      <c r="J1162" s="26"/>
      <c r="K1162" s="26"/>
    </row>
    <row r="1163" spans="1:11" x14ac:dyDescent="0.25">
      <c r="A1163" s="55"/>
      <c r="B1163" s="43" t="s">
        <v>1728</v>
      </c>
      <c r="C1163" s="43" t="s">
        <v>1752</v>
      </c>
      <c r="D1163" s="43" t="s">
        <v>1811</v>
      </c>
      <c r="E1163" s="57" t="s">
        <v>1812</v>
      </c>
      <c r="F1163" s="43"/>
      <c r="G1163" s="57" t="s">
        <v>76</v>
      </c>
      <c r="H1163" s="43"/>
      <c r="I1163" s="26"/>
      <c r="J1163" s="26"/>
      <c r="K1163" s="26"/>
    </row>
    <row r="1164" spans="1:11" x14ac:dyDescent="0.25">
      <c r="A1164" s="55"/>
      <c r="B1164" s="43" t="s">
        <v>1728</v>
      </c>
      <c r="C1164" s="43" t="s">
        <v>1752</v>
      </c>
      <c r="D1164" s="43" t="s">
        <v>1813</v>
      </c>
      <c r="E1164" s="57" t="s">
        <v>1814</v>
      </c>
      <c r="F1164" s="43"/>
      <c r="G1164" s="57" t="s">
        <v>76</v>
      </c>
      <c r="H1164" s="43"/>
      <c r="I1164" s="26"/>
      <c r="J1164" s="26"/>
      <c r="K1164" s="26"/>
    </row>
    <row r="1165" spans="1:11" x14ac:dyDescent="0.25">
      <c r="A1165" s="55"/>
      <c r="B1165" s="43" t="s">
        <v>1728</v>
      </c>
      <c r="C1165" s="43" t="s">
        <v>1752</v>
      </c>
      <c r="D1165" s="43" t="s">
        <v>1815</v>
      </c>
      <c r="E1165" s="57" t="s">
        <v>1816</v>
      </c>
      <c r="F1165" s="43"/>
      <c r="G1165" s="57" t="s">
        <v>76</v>
      </c>
      <c r="H1165" s="43"/>
      <c r="I1165" s="26"/>
      <c r="J1165" s="26"/>
      <c r="K1165" s="26"/>
    </row>
    <row r="1166" spans="1:11" x14ac:dyDescent="0.25">
      <c r="A1166" s="55"/>
      <c r="B1166" s="43" t="s">
        <v>1728</v>
      </c>
      <c r="C1166" s="43" t="s">
        <v>1752</v>
      </c>
      <c r="D1166" s="43" t="s">
        <v>1817</v>
      </c>
      <c r="E1166" s="57" t="s">
        <v>1818</v>
      </c>
      <c r="F1166" s="43"/>
      <c r="G1166" s="57" t="s">
        <v>76</v>
      </c>
      <c r="H1166" s="43"/>
      <c r="I1166" s="26"/>
      <c r="J1166" s="26"/>
      <c r="K1166" s="26"/>
    </row>
    <row r="1167" spans="1:11" x14ac:dyDescent="0.25">
      <c r="A1167" s="55"/>
      <c r="B1167" s="43" t="s">
        <v>1728</v>
      </c>
      <c r="C1167" s="43" t="s">
        <v>1752</v>
      </c>
      <c r="D1167" s="43" t="s">
        <v>1819</v>
      </c>
      <c r="E1167" s="57" t="s">
        <v>1820</v>
      </c>
      <c r="F1167" s="43"/>
      <c r="G1167" s="57" t="s">
        <v>76</v>
      </c>
      <c r="H1167" s="43"/>
      <c r="I1167" s="26"/>
      <c r="J1167" s="26"/>
      <c r="K1167" s="26"/>
    </row>
    <row r="1168" spans="1:11" x14ac:dyDescent="0.25">
      <c r="A1168" s="55"/>
      <c r="B1168" s="43" t="s">
        <v>1728</v>
      </c>
      <c r="C1168" s="43" t="s">
        <v>1752</v>
      </c>
      <c r="D1168" s="43" t="s">
        <v>1821</v>
      </c>
      <c r="E1168" s="57" t="s">
        <v>1822</v>
      </c>
      <c r="F1168" s="43"/>
      <c r="G1168" s="57" t="s">
        <v>76</v>
      </c>
      <c r="H1168" s="43"/>
      <c r="I1168" s="26"/>
      <c r="J1168" s="26"/>
      <c r="K1168" s="26"/>
    </row>
    <row r="1169" spans="1:11" x14ac:dyDescent="0.25">
      <c r="A1169" s="55"/>
      <c r="B1169" s="43" t="s">
        <v>1728</v>
      </c>
      <c r="C1169" s="43" t="s">
        <v>1752</v>
      </c>
      <c r="D1169" s="43" t="s">
        <v>1823</v>
      </c>
      <c r="E1169" s="57" t="s">
        <v>1824</v>
      </c>
      <c r="F1169" s="43"/>
      <c r="G1169" s="57" t="s">
        <v>76</v>
      </c>
      <c r="H1169" s="43"/>
      <c r="I1169" s="26"/>
      <c r="J1169" s="26"/>
      <c r="K1169" s="26"/>
    </row>
    <row r="1170" spans="1:11" x14ac:dyDescent="0.25">
      <c r="A1170" s="55"/>
      <c r="B1170" s="43" t="s">
        <v>1728</v>
      </c>
      <c r="C1170" s="43" t="s">
        <v>1752</v>
      </c>
      <c r="D1170" s="43" t="s">
        <v>1761</v>
      </c>
      <c r="E1170" s="57" t="s">
        <v>1825</v>
      </c>
      <c r="F1170" s="43"/>
      <c r="G1170" s="57" t="s">
        <v>76</v>
      </c>
      <c r="H1170" s="43"/>
      <c r="I1170" s="26"/>
      <c r="J1170" s="26"/>
      <c r="K1170" s="26"/>
    </row>
    <row r="1171" spans="1:11" x14ac:dyDescent="0.25">
      <c r="A1171" s="55"/>
      <c r="B1171" s="43" t="s">
        <v>1728</v>
      </c>
      <c r="C1171" s="43" t="s">
        <v>1752</v>
      </c>
      <c r="D1171" s="43" t="s">
        <v>1763</v>
      </c>
      <c r="E1171" s="57" t="s">
        <v>1826</v>
      </c>
      <c r="F1171" s="43"/>
      <c r="G1171" s="57" t="s">
        <v>76</v>
      </c>
      <c r="H1171" s="43"/>
      <c r="I1171" s="26"/>
      <c r="J1171" s="26"/>
      <c r="K1171" s="26"/>
    </row>
    <row r="1172" spans="1:11" x14ac:dyDescent="0.25">
      <c r="A1172" s="55"/>
      <c r="B1172" s="43" t="s">
        <v>1728</v>
      </c>
      <c r="C1172" s="43" t="s">
        <v>1752</v>
      </c>
      <c r="D1172" s="43" t="s">
        <v>1765</v>
      </c>
      <c r="E1172" s="57" t="s">
        <v>1827</v>
      </c>
      <c r="F1172" s="43"/>
      <c r="G1172" s="57" t="s">
        <v>76</v>
      </c>
      <c r="H1172" s="43"/>
      <c r="I1172" s="26"/>
      <c r="J1172" s="26"/>
      <c r="K1172" s="26"/>
    </row>
    <row r="1173" spans="1:11" x14ac:dyDescent="0.25">
      <c r="A1173" s="55"/>
      <c r="B1173" s="43" t="s">
        <v>1728</v>
      </c>
      <c r="C1173" s="43" t="s">
        <v>1752</v>
      </c>
      <c r="D1173" s="43" t="s">
        <v>1828</v>
      </c>
      <c r="E1173" s="57" t="s">
        <v>1829</v>
      </c>
      <c r="F1173" s="43"/>
      <c r="G1173" s="57" t="s">
        <v>76</v>
      </c>
      <c r="H1173" s="43"/>
      <c r="I1173" s="26"/>
      <c r="J1173" s="26"/>
      <c r="K1173" s="26"/>
    </row>
    <row r="1174" spans="1:11" x14ac:dyDescent="0.25">
      <c r="A1174" s="55"/>
      <c r="B1174" s="43" t="s">
        <v>1728</v>
      </c>
      <c r="C1174" s="43" t="s">
        <v>1752</v>
      </c>
      <c r="D1174" s="43" t="s">
        <v>1830</v>
      </c>
      <c r="E1174" s="57" t="s">
        <v>1831</v>
      </c>
      <c r="F1174" s="43"/>
      <c r="G1174" s="57" t="s">
        <v>76</v>
      </c>
      <c r="H1174" s="43"/>
      <c r="I1174" s="26"/>
      <c r="J1174" s="26"/>
      <c r="K1174" s="26"/>
    </row>
    <row r="1175" spans="1:11" x14ac:dyDescent="0.25">
      <c r="A1175" s="55"/>
      <c r="B1175" s="43" t="s">
        <v>1728</v>
      </c>
      <c r="C1175" s="43" t="s">
        <v>1752</v>
      </c>
      <c r="D1175" s="43" t="s">
        <v>1832</v>
      </c>
      <c r="E1175" s="57" t="s">
        <v>1833</v>
      </c>
      <c r="F1175" s="43"/>
      <c r="G1175" s="57" t="s">
        <v>76</v>
      </c>
      <c r="H1175" s="43"/>
      <c r="I1175" s="26"/>
      <c r="J1175" s="26"/>
      <c r="K1175" s="26"/>
    </row>
    <row r="1176" spans="1:11" x14ac:dyDescent="0.25">
      <c r="A1176" s="55"/>
      <c r="B1176" s="43" t="s">
        <v>1728</v>
      </c>
      <c r="C1176" s="43" t="s">
        <v>1752</v>
      </c>
      <c r="D1176" s="43" t="s">
        <v>1765</v>
      </c>
      <c r="E1176" s="57" t="s">
        <v>1834</v>
      </c>
      <c r="F1176" s="43"/>
      <c r="G1176" s="57" t="s">
        <v>76</v>
      </c>
      <c r="H1176" s="43"/>
      <c r="I1176" s="26"/>
      <c r="J1176" s="26"/>
      <c r="K1176" s="26"/>
    </row>
    <row r="1177" spans="1:11" x14ac:dyDescent="0.25">
      <c r="A1177" s="55"/>
      <c r="B1177" s="43" t="s">
        <v>1728</v>
      </c>
      <c r="C1177" s="43" t="s">
        <v>1752</v>
      </c>
      <c r="D1177" s="43" t="s">
        <v>1835</v>
      </c>
      <c r="E1177" s="57" t="s">
        <v>1836</v>
      </c>
      <c r="F1177" s="43"/>
      <c r="G1177" s="57" t="s">
        <v>76</v>
      </c>
      <c r="H1177" s="43"/>
      <c r="I1177" s="26"/>
      <c r="J1177" s="26"/>
      <c r="K1177" s="26"/>
    </row>
    <row r="1178" spans="1:11" x14ac:dyDescent="0.25">
      <c r="A1178" s="55"/>
      <c r="B1178" s="43" t="s">
        <v>1728</v>
      </c>
      <c r="C1178" s="43" t="s">
        <v>1752</v>
      </c>
      <c r="D1178" s="43" t="s">
        <v>1765</v>
      </c>
      <c r="E1178" s="57" t="s">
        <v>1837</v>
      </c>
      <c r="F1178" s="43"/>
      <c r="G1178" s="57" t="s">
        <v>76</v>
      </c>
      <c r="H1178" s="43"/>
      <c r="I1178" s="26"/>
      <c r="J1178" s="26"/>
      <c r="K1178" s="26"/>
    </row>
    <row r="1179" spans="1:11" x14ac:dyDescent="0.25">
      <c r="A1179" s="55"/>
      <c r="B1179" s="43" t="s">
        <v>1728</v>
      </c>
      <c r="C1179" s="43" t="s">
        <v>1752</v>
      </c>
      <c r="D1179" s="43" t="s">
        <v>1782</v>
      </c>
      <c r="E1179" s="57" t="s">
        <v>1838</v>
      </c>
      <c r="F1179" s="43"/>
      <c r="G1179" s="57" t="s">
        <v>76</v>
      </c>
      <c r="H1179" s="43"/>
      <c r="I1179" s="26"/>
      <c r="J1179" s="26"/>
      <c r="K1179" s="26"/>
    </row>
    <row r="1180" spans="1:11" x14ac:dyDescent="0.25">
      <c r="A1180" s="55"/>
      <c r="B1180" s="43" t="s">
        <v>1728</v>
      </c>
      <c r="C1180" s="43" t="s">
        <v>1752</v>
      </c>
      <c r="D1180" s="43" t="s">
        <v>1784</v>
      </c>
      <c r="E1180" s="57" t="s">
        <v>1839</v>
      </c>
      <c r="F1180" s="43"/>
      <c r="G1180" s="57" t="s">
        <v>76</v>
      </c>
      <c r="H1180" s="43"/>
      <c r="I1180" s="26"/>
      <c r="J1180" s="26"/>
      <c r="K1180" s="26"/>
    </row>
    <row r="1181" spans="1:11" x14ac:dyDescent="0.25">
      <c r="A1181" s="55"/>
      <c r="B1181" s="43" t="s">
        <v>1728</v>
      </c>
      <c r="C1181" s="43" t="s">
        <v>1752</v>
      </c>
      <c r="D1181" s="43" t="s">
        <v>1786</v>
      </c>
      <c r="E1181" s="57" t="s">
        <v>1840</v>
      </c>
      <c r="F1181" s="43"/>
      <c r="G1181" s="57" t="s">
        <v>76</v>
      </c>
      <c r="H1181" s="43"/>
      <c r="I1181" s="26"/>
      <c r="J1181" s="26"/>
      <c r="K1181" s="26"/>
    </row>
    <row r="1182" spans="1:11" x14ac:dyDescent="0.25">
      <c r="A1182" s="55"/>
      <c r="B1182" s="43" t="s">
        <v>1728</v>
      </c>
      <c r="C1182" s="43" t="s">
        <v>1752</v>
      </c>
      <c r="D1182" s="43" t="s">
        <v>1809</v>
      </c>
      <c r="E1182" s="57" t="s">
        <v>1841</v>
      </c>
      <c r="F1182" s="43"/>
      <c r="G1182" s="57" t="s">
        <v>76</v>
      </c>
      <c r="H1182" s="43"/>
      <c r="I1182" s="26"/>
      <c r="J1182" s="26"/>
      <c r="K1182" s="26"/>
    </row>
    <row r="1183" spans="1:11" x14ac:dyDescent="0.25">
      <c r="A1183" s="55"/>
      <c r="B1183" s="43" t="s">
        <v>1728</v>
      </c>
      <c r="C1183" s="43" t="s">
        <v>1752</v>
      </c>
      <c r="D1183" s="43" t="s">
        <v>1842</v>
      </c>
      <c r="E1183" s="57" t="s">
        <v>1843</v>
      </c>
      <c r="F1183" s="43"/>
      <c r="G1183" s="57" t="s">
        <v>76</v>
      </c>
      <c r="H1183" s="43"/>
      <c r="I1183" s="26"/>
      <c r="J1183" s="26"/>
      <c r="K1183" s="26"/>
    </row>
    <row r="1184" spans="1:11" x14ac:dyDescent="0.25">
      <c r="A1184" s="55"/>
      <c r="B1184" s="43" t="s">
        <v>1728</v>
      </c>
      <c r="C1184" s="43" t="s">
        <v>1752</v>
      </c>
      <c r="D1184" s="43" t="s">
        <v>1844</v>
      </c>
      <c r="E1184" s="57" t="s">
        <v>1845</v>
      </c>
      <c r="F1184" s="43"/>
      <c r="G1184" s="57" t="s">
        <v>76</v>
      </c>
      <c r="H1184" s="43"/>
      <c r="I1184" s="26"/>
      <c r="J1184" s="26"/>
      <c r="K1184" s="26"/>
    </row>
    <row r="1185" spans="1:11" x14ac:dyDescent="0.25">
      <c r="A1185" s="55"/>
      <c r="B1185" s="43" t="s">
        <v>1728</v>
      </c>
      <c r="C1185" s="43" t="s">
        <v>1752</v>
      </c>
      <c r="D1185" s="43" t="s">
        <v>1815</v>
      </c>
      <c r="E1185" s="57" t="s">
        <v>1846</v>
      </c>
      <c r="F1185" s="43"/>
      <c r="G1185" s="57" t="s">
        <v>76</v>
      </c>
      <c r="H1185" s="43"/>
      <c r="I1185" s="26"/>
      <c r="J1185" s="26"/>
      <c r="K1185" s="26"/>
    </row>
    <row r="1186" spans="1:11" x14ac:dyDescent="0.25">
      <c r="A1186" s="55"/>
      <c r="B1186" s="45">
        <v>6.12</v>
      </c>
      <c r="C1186" s="83" t="s">
        <v>628</v>
      </c>
      <c r="D1186" s="45" t="s">
        <v>1847</v>
      </c>
      <c r="E1186" s="84" t="s">
        <v>1848</v>
      </c>
      <c r="F1186" s="45" t="s">
        <v>1849</v>
      </c>
      <c r="G1186" s="84" t="s">
        <v>39</v>
      </c>
      <c r="H1186" s="83"/>
      <c r="I1186" s="83"/>
      <c r="J1186" s="83"/>
      <c r="K1186" s="83"/>
    </row>
    <row r="1187" spans="1:11" x14ac:dyDescent="0.25">
      <c r="A1187" s="26"/>
      <c r="B1187" s="26">
        <v>6.3</v>
      </c>
      <c r="C1187" s="26" t="s">
        <v>826</v>
      </c>
      <c r="D1187" s="46" t="s">
        <v>1850</v>
      </c>
      <c r="E1187" s="73" t="s">
        <v>1851</v>
      </c>
      <c r="F1187" s="26"/>
      <c r="G1187" s="57" t="s">
        <v>76</v>
      </c>
      <c r="H1187" s="26"/>
      <c r="I1187" s="26"/>
      <c r="J1187" s="26"/>
      <c r="K1187" s="26"/>
    </row>
    <row r="1188" spans="1:11" x14ac:dyDescent="0.25">
      <c r="A1188" s="26"/>
      <c r="B1188" s="26">
        <v>6.3</v>
      </c>
      <c r="C1188" s="26" t="s">
        <v>826</v>
      </c>
      <c r="D1188" s="46" t="s">
        <v>1852</v>
      </c>
      <c r="E1188" s="73" t="s">
        <v>1853</v>
      </c>
      <c r="F1188" s="26"/>
      <c r="G1188" s="57" t="s">
        <v>76</v>
      </c>
      <c r="H1188" s="26"/>
      <c r="I1188" s="26"/>
      <c r="J1188" s="26"/>
      <c r="K1188" s="26"/>
    </row>
    <row r="1189" spans="1:11" x14ac:dyDescent="0.25">
      <c r="A1189" s="26"/>
      <c r="B1189" s="26">
        <v>6.3</v>
      </c>
      <c r="C1189" s="26" t="s">
        <v>826</v>
      </c>
      <c r="D1189" s="46" t="s">
        <v>1854</v>
      </c>
      <c r="E1189" s="73" t="s">
        <v>1855</v>
      </c>
      <c r="F1189" s="26"/>
      <c r="G1189" s="57" t="s">
        <v>76</v>
      </c>
      <c r="H1189" s="26"/>
      <c r="I1189" s="26"/>
      <c r="J1189" s="26"/>
      <c r="K1189" s="26"/>
    </row>
    <row r="1190" spans="1:11" x14ac:dyDescent="0.25">
      <c r="A1190" s="26"/>
      <c r="B1190" s="26">
        <v>6.3</v>
      </c>
      <c r="C1190" s="26" t="s">
        <v>826</v>
      </c>
      <c r="D1190" s="46" t="s">
        <v>1856</v>
      </c>
      <c r="E1190" s="73" t="s">
        <v>1857</v>
      </c>
      <c r="F1190" s="26"/>
      <c r="G1190" s="57" t="s">
        <v>76</v>
      </c>
      <c r="H1190" s="26"/>
      <c r="I1190" s="26"/>
      <c r="J1190" s="26"/>
      <c r="K1190" s="26"/>
    </row>
    <row r="1191" spans="1:11" x14ac:dyDescent="0.25">
      <c r="A1191" s="26"/>
      <c r="B1191" s="26">
        <v>6.3</v>
      </c>
      <c r="C1191" s="26" t="s">
        <v>826</v>
      </c>
      <c r="D1191" s="46" t="s">
        <v>1858</v>
      </c>
      <c r="E1191" s="73" t="s">
        <v>1859</v>
      </c>
      <c r="F1191" s="26"/>
      <c r="G1191" s="57" t="s">
        <v>76</v>
      </c>
      <c r="H1191" s="26"/>
      <c r="I1191" s="26"/>
      <c r="J1191" s="26"/>
      <c r="K1191" s="26"/>
    </row>
    <row r="1192" spans="1:11" x14ac:dyDescent="0.25">
      <c r="A1192" s="26"/>
      <c r="B1192" s="26">
        <v>6.3</v>
      </c>
      <c r="C1192" s="26" t="s">
        <v>826</v>
      </c>
      <c r="D1192" s="46" t="s">
        <v>1860</v>
      </c>
      <c r="E1192" s="73" t="s">
        <v>1861</v>
      </c>
      <c r="F1192" s="26"/>
      <c r="G1192" s="57" t="s">
        <v>76</v>
      </c>
      <c r="H1192" s="26"/>
      <c r="I1192" s="26"/>
      <c r="J1192" s="26"/>
      <c r="K1192" s="26"/>
    </row>
    <row r="1193" spans="1:11" x14ac:dyDescent="0.25">
      <c r="A1193" s="26"/>
      <c r="B1193" s="26">
        <v>6.3</v>
      </c>
      <c r="C1193" s="26" t="s">
        <v>826</v>
      </c>
      <c r="D1193" s="46" t="s">
        <v>1862</v>
      </c>
      <c r="E1193" s="73" t="s">
        <v>1863</v>
      </c>
      <c r="F1193" s="26"/>
      <c r="G1193" s="57" t="s">
        <v>76</v>
      </c>
      <c r="H1193" s="26"/>
      <c r="I1193" s="26"/>
      <c r="J1193" s="26"/>
      <c r="K1193" s="26"/>
    </row>
    <row r="1194" spans="1:11" x14ac:dyDescent="0.25">
      <c r="A1194" s="26"/>
      <c r="B1194" s="26">
        <v>6.3</v>
      </c>
      <c r="C1194" s="26" t="s">
        <v>826</v>
      </c>
      <c r="D1194" s="46" t="s">
        <v>1864</v>
      </c>
      <c r="E1194" s="73" t="s">
        <v>1865</v>
      </c>
      <c r="F1194" s="26"/>
      <c r="G1194" s="57" t="s">
        <v>76</v>
      </c>
      <c r="H1194" s="26"/>
      <c r="I1194" s="26"/>
      <c r="J1194" s="26"/>
      <c r="K1194" s="26"/>
    </row>
    <row r="1195" spans="1:11" x14ac:dyDescent="0.25">
      <c r="A1195" s="55"/>
      <c r="B1195" s="56">
        <v>9.1999999999999993</v>
      </c>
      <c r="C1195" s="21" t="s">
        <v>95</v>
      </c>
      <c r="D1195" s="47" t="s">
        <v>1866</v>
      </c>
      <c r="E1195" s="57" t="s">
        <v>1867</v>
      </c>
      <c r="F1195" s="26"/>
      <c r="G1195" s="57" t="s">
        <v>76</v>
      </c>
      <c r="H1195" s="26"/>
      <c r="I1195" s="26"/>
      <c r="J1195" s="26"/>
      <c r="K1195" s="26"/>
    </row>
    <row r="1196" spans="1:11" x14ac:dyDescent="0.25">
      <c r="A1196" s="55"/>
      <c r="B1196" s="26">
        <v>9.6</v>
      </c>
      <c r="C1196" s="21" t="s">
        <v>185</v>
      </c>
      <c r="D1196" s="44" t="s">
        <v>1868</v>
      </c>
      <c r="E1196" s="57" t="s">
        <v>1869</v>
      </c>
      <c r="F1196" s="26"/>
      <c r="G1196" s="57" t="s">
        <v>76</v>
      </c>
      <c r="H1196" s="26"/>
      <c r="I1196" s="26"/>
      <c r="J1196" s="26"/>
      <c r="K1196" s="26"/>
    </row>
    <row r="1197" spans="1:11" x14ac:dyDescent="0.25">
      <c r="A1197" s="55"/>
      <c r="B1197" s="26">
        <v>9.6</v>
      </c>
      <c r="C1197" s="21" t="s">
        <v>185</v>
      </c>
      <c r="D1197" s="48" t="s">
        <v>1870</v>
      </c>
      <c r="E1197" s="57" t="s">
        <v>1871</v>
      </c>
      <c r="F1197" s="26"/>
      <c r="G1197" s="57" t="s">
        <v>76</v>
      </c>
      <c r="H1197" s="26"/>
      <c r="I1197" s="26"/>
      <c r="J1197" s="26"/>
      <c r="K1197" s="26"/>
    </row>
    <row r="1198" spans="1:11" x14ac:dyDescent="0.25">
      <c r="A1198" s="55"/>
      <c r="B1198" s="26">
        <v>9.6</v>
      </c>
      <c r="C1198" s="21" t="s">
        <v>185</v>
      </c>
      <c r="D1198" s="48" t="s">
        <v>1872</v>
      </c>
      <c r="E1198" s="57" t="s">
        <v>1873</v>
      </c>
      <c r="F1198" s="26"/>
      <c r="G1198" s="57" t="s">
        <v>76</v>
      </c>
      <c r="H1198" s="26"/>
      <c r="I1198" s="26"/>
      <c r="J1198" s="26"/>
      <c r="K1198" s="26"/>
    </row>
    <row r="1199" spans="1:11" x14ac:dyDescent="0.25">
      <c r="A1199" s="55"/>
      <c r="B1199" s="26">
        <v>9.6</v>
      </c>
      <c r="C1199" s="21" t="s">
        <v>185</v>
      </c>
      <c r="D1199" s="48" t="s">
        <v>1874</v>
      </c>
      <c r="E1199" s="57" t="s">
        <v>1875</v>
      </c>
      <c r="F1199" s="26"/>
      <c r="G1199" s="57" t="s">
        <v>76</v>
      </c>
      <c r="H1199" s="26"/>
      <c r="I1199" s="26"/>
      <c r="J1199" s="26"/>
      <c r="K1199" s="26"/>
    </row>
    <row r="1200" spans="1:11" x14ac:dyDescent="0.25">
      <c r="A1200" s="55"/>
      <c r="B1200" s="56">
        <v>9.1999999999999993</v>
      </c>
      <c r="C1200" s="21" t="s">
        <v>95</v>
      </c>
      <c r="D1200" s="48" t="s">
        <v>1876</v>
      </c>
      <c r="E1200" s="57" t="s">
        <v>1877</v>
      </c>
      <c r="F1200" s="26"/>
      <c r="G1200" s="57" t="s">
        <v>76</v>
      </c>
      <c r="H1200" s="26"/>
      <c r="I1200" s="26"/>
      <c r="J1200" s="26"/>
      <c r="K1200" s="26"/>
    </row>
    <row r="1201" spans="1:11" x14ac:dyDescent="0.25">
      <c r="A1201" s="55"/>
      <c r="B1201" s="56">
        <v>9.1999999999999993</v>
      </c>
      <c r="C1201" s="21" t="s">
        <v>95</v>
      </c>
      <c r="D1201" s="48" t="s">
        <v>1878</v>
      </c>
      <c r="E1201" s="57" t="s">
        <v>1879</v>
      </c>
      <c r="F1201" s="26"/>
      <c r="G1201" s="57" t="s">
        <v>76</v>
      </c>
      <c r="H1201" s="26"/>
      <c r="I1201" s="26"/>
      <c r="J1201" s="26"/>
      <c r="K1201" s="26"/>
    </row>
    <row r="1202" spans="1:11" x14ac:dyDescent="0.25">
      <c r="A1202" s="55"/>
      <c r="B1202" s="56">
        <v>9.1999999999999993</v>
      </c>
      <c r="C1202" s="21" t="s">
        <v>95</v>
      </c>
      <c r="D1202" s="48" t="s">
        <v>1880</v>
      </c>
      <c r="E1202" s="57" t="s">
        <v>1881</v>
      </c>
      <c r="F1202" s="26"/>
      <c r="G1202" s="57" t="s">
        <v>76</v>
      </c>
      <c r="H1202" s="26"/>
      <c r="I1202" s="26"/>
      <c r="J1202" s="26"/>
      <c r="K1202" s="26"/>
    </row>
    <row r="1203" spans="1:11" x14ac:dyDescent="0.25">
      <c r="A1203" s="55"/>
      <c r="B1203" s="56">
        <v>9.1999999999999993</v>
      </c>
      <c r="C1203" s="21" t="s">
        <v>95</v>
      </c>
      <c r="D1203" s="48" t="s">
        <v>1882</v>
      </c>
      <c r="E1203" s="57" t="s">
        <v>1883</v>
      </c>
      <c r="F1203" s="26"/>
      <c r="G1203" s="57" t="s">
        <v>76</v>
      </c>
      <c r="H1203" s="26"/>
      <c r="I1203" s="26"/>
      <c r="J1203" s="26"/>
      <c r="K1203" s="26"/>
    </row>
    <row r="1204" spans="1:11" x14ac:dyDescent="0.25">
      <c r="A1204" s="55"/>
      <c r="B1204" s="56">
        <v>9.1999999999999993</v>
      </c>
      <c r="C1204" s="21" t="s">
        <v>95</v>
      </c>
      <c r="D1204" s="48" t="s">
        <v>1884</v>
      </c>
      <c r="E1204" s="57" t="s">
        <v>1885</v>
      </c>
      <c r="F1204" s="26"/>
      <c r="G1204" s="57" t="s">
        <v>76</v>
      </c>
      <c r="H1204" s="26"/>
      <c r="I1204" s="26"/>
      <c r="J1204" s="26"/>
      <c r="K1204" s="26"/>
    </row>
    <row r="1205" spans="1:11" x14ac:dyDescent="0.25">
      <c r="A1205" s="55"/>
      <c r="B1205" s="56">
        <v>9.1999999999999993</v>
      </c>
      <c r="C1205" s="21" t="s">
        <v>95</v>
      </c>
      <c r="D1205" s="48" t="s">
        <v>1886</v>
      </c>
      <c r="E1205" s="57" t="s">
        <v>1887</v>
      </c>
      <c r="F1205" s="26"/>
      <c r="G1205" s="57" t="s">
        <v>76</v>
      </c>
      <c r="H1205" s="26"/>
      <c r="I1205" s="26"/>
      <c r="J1205" s="26"/>
      <c r="K1205" s="26"/>
    </row>
    <row r="1206" spans="1:11" x14ac:dyDescent="0.25">
      <c r="A1206" s="55"/>
      <c r="B1206" s="56">
        <v>9.1999999999999993</v>
      </c>
      <c r="C1206" s="21" t="s">
        <v>95</v>
      </c>
      <c r="D1206" s="48" t="s">
        <v>1888</v>
      </c>
      <c r="E1206" s="57" t="s">
        <v>1889</v>
      </c>
      <c r="F1206" s="26"/>
      <c r="G1206" s="57" t="s">
        <v>76</v>
      </c>
      <c r="H1206" s="26"/>
      <c r="I1206" s="26"/>
      <c r="J1206" s="26"/>
      <c r="K1206" s="26"/>
    </row>
    <row r="1207" spans="1:11" x14ac:dyDescent="0.25">
      <c r="A1207" s="55"/>
      <c r="B1207" s="56">
        <v>9.1999999999999993</v>
      </c>
      <c r="C1207" s="21" t="s">
        <v>95</v>
      </c>
      <c r="D1207" s="48" t="s">
        <v>1890</v>
      </c>
      <c r="E1207" s="57" t="s">
        <v>1891</v>
      </c>
      <c r="F1207" s="26"/>
      <c r="G1207" s="57" t="s">
        <v>76</v>
      </c>
      <c r="H1207" s="26"/>
      <c r="I1207" s="26"/>
      <c r="J1207" s="26"/>
      <c r="K1207" s="26"/>
    </row>
    <row r="1208" spans="1:11" x14ac:dyDescent="0.25">
      <c r="A1208" s="55"/>
      <c r="B1208" s="56">
        <v>9.1999999999999993</v>
      </c>
      <c r="C1208" s="21" t="s">
        <v>95</v>
      </c>
      <c r="D1208" s="48" t="s">
        <v>1892</v>
      </c>
      <c r="E1208" s="57" t="s">
        <v>1893</v>
      </c>
      <c r="F1208" s="26"/>
      <c r="G1208" s="57" t="s">
        <v>76</v>
      </c>
      <c r="H1208" s="26"/>
      <c r="I1208" s="26"/>
      <c r="J1208" s="26"/>
      <c r="K1208" s="26"/>
    </row>
    <row r="1209" spans="1:11" x14ac:dyDescent="0.25">
      <c r="A1209" s="55"/>
      <c r="B1209" s="56">
        <v>9.1999999999999993</v>
      </c>
      <c r="C1209" s="21" t="s">
        <v>95</v>
      </c>
      <c r="D1209" s="48" t="s">
        <v>1894</v>
      </c>
      <c r="E1209" s="57" t="s">
        <v>1895</v>
      </c>
      <c r="F1209" s="26"/>
      <c r="G1209" s="57" t="s">
        <v>76</v>
      </c>
      <c r="H1209" s="26"/>
      <c r="I1209" s="26"/>
      <c r="J1209" s="26"/>
      <c r="K1209" s="26"/>
    </row>
    <row r="1210" spans="1:11" x14ac:dyDescent="0.25">
      <c r="A1210" s="55"/>
      <c r="B1210" s="26">
        <v>4.8</v>
      </c>
      <c r="C1210" s="26" t="s">
        <v>503</v>
      </c>
      <c r="D1210" s="48" t="s">
        <v>1896</v>
      </c>
      <c r="E1210" s="57" t="s">
        <v>1897</v>
      </c>
      <c r="F1210" s="26"/>
      <c r="G1210" s="57" t="s">
        <v>76</v>
      </c>
      <c r="H1210" s="26"/>
      <c r="I1210" s="26"/>
      <c r="J1210" s="26"/>
      <c r="K1210" s="26"/>
    </row>
    <row r="1211" spans="1:11" x14ac:dyDescent="0.25">
      <c r="A1211" s="55"/>
      <c r="B1211" s="43">
        <v>6.12</v>
      </c>
      <c r="C1211" s="26" t="s">
        <v>628</v>
      </c>
      <c r="D1211" s="49" t="s">
        <v>1898</v>
      </c>
      <c r="E1211" s="46" t="s">
        <v>1899</v>
      </c>
      <c r="F1211" s="26"/>
      <c r="G1211" s="57" t="s">
        <v>76</v>
      </c>
      <c r="H1211" s="26"/>
      <c r="I1211" s="26"/>
      <c r="J1211" s="26"/>
      <c r="K1211" s="26"/>
    </row>
    <row r="1212" spans="1:11" x14ac:dyDescent="0.25">
      <c r="A1212" s="55"/>
      <c r="B1212" s="43">
        <v>6.12</v>
      </c>
      <c r="C1212" s="26" t="s">
        <v>628</v>
      </c>
      <c r="D1212" s="49" t="s">
        <v>1900</v>
      </c>
      <c r="E1212" s="46" t="s">
        <v>1901</v>
      </c>
      <c r="F1212" s="26"/>
      <c r="G1212" s="57" t="s">
        <v>76</v>
      </c>
      <c r="H1212" s="26"/>
      <c r="I1212" s="26"/>
      <c r="J1212" s="26"/>
      <c r="K1212" s="26"/>
    </row>
    <row r="1213" spans="1:11" x14ac:dyDescent="0.25">
      <c r="A1213" s="55"/>
      <c r="B1213" s="43">
        <v>6.12</v>
      </c>
      <c r="C1213" s="26" t="s">
        <v>628</v>
      </c>
      <c r="D1213" s="49" t="s">
        <v>1902</v>
      </c>
      <c r="E1213" s="46" t="s">
        <v>1903</v>
      </c>
      <c r="F1213" s="26"/>
      <c r="G1213" s="57" t="s">
        <v>76</v>
      </c>
      <c r="H1213" s="26"/>
      <c r="I1213" s="26"/>
      <c r="J1213" s="26"/>
      <c r="K1213" s="26"/>
    </row>
    <row r="1214" spans="1:11" x14ac:dyDescent="0.25">
      <c r="A1214" s="55"/>
      <c r="B1214" s="43">
        <v>6.12</v>
      </c>
      <c r="C1214" s="26" t="s">
        <v>628</v>
      </c>
      <c r="D1214" s="49" t="s">
        <v>1904</v>
      </c>
      <c r="E1214" s="46" t="s">
        <v>1905</v>
      </c>
      <c r="F1214" s="26"/>
      <c r="G1214" s="57" t="s">
        <v>76</v>
      </c>
      <c r="H1214" s="26"/>
      <c r="I1214" s="26"/>
      <c r="J1214" s="26"/>
      <c r="K1214" s="26"/>
    </row>
    <row r="1215" spans="1:11" x14ac:dyDescent="0.25">
      <c r="A1215" s="55"/>
      <c r="B1215" s="43">
        <v>6.12</v>
      </c>
      <c r="C1215" s="26" t="s">
        <v>628</v>
      </c>
      <c r="D1215" s="49" t="s">
        <v>1906</v>
      </c>
      <c r="E1215" s="46" t="s">
        <v>1907</v>
      </c>
      <c r="F1215" s="26"/>
      <c r="G1215" s="57" t="s">
        <v>76</v>
      </c>
      <c r="H1215" s="26"/>
      <c r="I1215" s="26"/>
      <c r="J1215" s="26"/>
      <c r="K1215" s="26"/>
    </row>
    <row r="1216" spans="1:11" x14ac:dyDescent="0.25">
      <c r="A1216" s="55"/>
      <c r="B1216" s="43">
        <v>6.12</v>
      </c>
      <c r="C1216" s="26" t="s">
        <v>628</v>
      </c>
      <c r="D1216" s="49" t="s">
        <v>1908</v>
      </c>
      <c r="E1216" s="46" t="s">
        <v>1909</v>
      </c>
      <c r="F1216" s="26"/>
      <c r="G1216" s="57" t="s">
        <v>76</v>
      </c>
      <c r="H1216" s="26"/>
      <c r="I1216" s="26"/>
      <c r="J1216" s="26"/>
      <c r="K1216" s="26"/>
    </row>
    <row r="1217" spans="1:11" x14ac:dyDescent="0.25">
      <c r="A1217" s="55"/>
      <c r="B1217" s="43">
        <v>6.12</v>
      </c>
      <c r="C1217" s="26" t="s">
        <v>628</v>
      </c>
      <c r="D1217" s="49" t="s">
        <v>1910</v>
      </c>
      <c r="E1217" s="46" t="s">
        <v>1911</v>
      </c>
      <c r="F1217" s="26"/>
      <c r="G1217" s="57" t="s">
        <v>76</v>
      </c>
      <c r="H1217" s="26"/>
      <c r="I1217" s="26"/>
      <c r="J1217" s="26"/>
      <c r="K1217" s="26"/>
    </row>
    <row r="1218" spans="1:11" x14ac:dyDescent="0.25">
      <c r="A1218" s="55"/>
      <c r="B1218" s="43">
        <v>6.12</v>
      </c>
      <c r="C1218" s="26" t="s">
        <v>628</v>
      </c>
      <c r="D1218" s="49" t="s">
        <v>1912</v>
      </c>
      <c r="E1218" s="46" t="s">
        <v>1913</v>
      </c>
      <c r="F1218" s="26"/>
      <c r="G1218" s="57" t="s">
        <v>76</v>
      </c>
      <c r="H1218" s="26"/>
      <c r="I1218" s="26"/>
      <c r="J1218" s="26"/>
      <c r="K1218" s="26"/>
    </row>
    <row r="1219" spans="1:11" x14ac:dyDescent="0.25">
      <c r="A1219" s="55"/>
      <c r="B1219" s="43">
        <v>6.12</v>
      </c>
      <c r="C1219" s="26" t="s">
        <v>628</v>
      </c>
      <c r="D1219" s="49" t="s">
        <v>1914</v>
      </c>
      <c r="E1219" s="46" t="s">
        <v>1915</v>
      </c>
      <c r="F1219" s="26"/>
      <c r="G1219" s="57" t="s">
        <v>76</v>
      </c>
      <c r="H1219" s="26"/>
      <c r="I1219" s="26"/>
      <c r="J1219" s="26"/>
      <c r="K1219" s="26"/>
    </row>
    <row r="1220" spans="1:11" x14ac:dyDescent="0.25">
      <c r="A1220" s="55"/>
      <c r="B1220" s="43">
        <v>6.12</v>
      </c>
      <c r="C1220" s="26" t="s">
        <v>628</v>
      </c>
      <c r="D1220" s="49" t="s">
        <v>1916</v>
      </c>
      <c r="E1220" s="46" t="s">
        <v>1917</v>
      </c>
      <c r="F1220" s="26"/>
      <c r="G1220" s="57" t="s">
        <v>76</v>
      </c>
      <c r="H1220" s="26"/>
      <c r="I1220" s="26"/>
      <c r="J1220" s="26"/>
      <c r="K1220" s="26"/>
    </row>
    <row r="1221" spans="1:11" x14ac:dyDescent="0.25">
      <c r="A1221" s="55"/>
      <c r="B1221" s="43">
        <v>6.12</v>
      </c>
      <c r="C1221" s="26" t="s">
        <v>628</v>
      </c>
      <c r="D1221" s="49" t="s">
        <v>1918</v>
      </c>
      <c r="E1221" s="46" t="s">
        <v>1919</v>
      </c>
      <c r="F1221" s="26"/>
      <c r="G1221" s="57" t="s">
        <v>76</v>
      </c>
      <c r="H1221" s="26"/>
      <c r="I1221" s="26"/>
      <c r="J1221" s="26"/>
      <c r="K1221" s="26"/>
    </row>
    <row r="1222" spans="1:11" x14ac:dyDescent="0.25">
      <c r="A1222" s="55"/>
      <c r="B1222" s="43">
        <v>6.12</v>
      </c>
      <c r="C1222" s="26" t="s">
        <v>628</v>
      </c>
      <c r="D1222" s="49" t="s">
        <v>1920</v>
      </c>
      <c r="E1222" s="46" t="s">
        <v>1921</v>
      </c>
      <c r="F1222" s="26"/>
      <c r="G1222" s="57" t="s">
        <v>76</v>
      </c>
      <c r="H1222" s="26"/>
      <c r="I1222" s="26"/>
      <c r="J1222" s="26"/>
      <c r="K1222" s="26"/>
    </row>
    <row r="1223" spans="1:11" x14ac:dyDescent="0.25">
      <c r="A1223" s="55"/>
      <c r="B1223" s="43">
        <v>6.12</v>
      </c>
      <c r="C1223" s="26" t="s">
        <v>628</v>
      </c>
      <c r="D1223" s="49" t="s">
        <v>1922</v>
      </c>
      <c r="E1223" s="46" t="s">
        <v>1923</v>
      </c>
      <c r="F1223" s="26"/>
      <c r="G1223" s="57" t="s">
        <v>76</v>
      </c>
      <c r="H1223" s="26"/>
      <c r="I1223" s="26"/>
      <c r="J1223" s="26"/>
      <c r="K1223" s="26"/>
    </row>
    <row r="1224" spans="1:11" x14ac:dyDescent="0.25">
      <c r="A1224" s="55"/>
      <c r="B1224" s="43">
        <v>6.12</v>
      </c>
      <c r="C1224" s="26" t="s">
        <v>628</v>
      </c>
      <c r="D1224" s="49" t="s">
        <v>1924</v>
      </c>
      <c r="E1224" s="46" t="s">
        <v>1925</v>
      </c>
      <c r="F1224" s="26"/>
      <c r="G1224" s="57" t="s">
        <v>76</v>
      </c>
      <c r="H1224" s="26"/>
      <c r="I1224" s="26"/>
      <c r="J1224" s="26"/>
      <c r="K1224" s="26"/>
    </row>
    <row r="1225" spans="1:11" x14ac:dyDescent="0.25">
      <c r="A1225" s="55"/>
      <c r="B1225" s="43">
        <v>6.12</v>
      </c>
      <c r="C1225" s="26" t="s">
        <v>628</v>
      </c>
      <c r="D1225" s="49" t="s">
        <v>1926</v>
      </c>
      <c r="E1225" s="46" t="s">
        <v>1927</v>
      </c>
      <c r="F1225" s="26"/>
      <c r="G1225" s="57" t="s">
        <v>76</v>
      </c>
      <c r="H1225" s="26"/>
      <c r="I1225" s="26"/>
      <c r="J1225" s="26"/>
      <c r="K1225" s="26"/>
    </row>
    <row r="1226" spans="1:11" x14ac:dyDescent="0.25">
      <c r="A1226" s="55"/>
      <c r="B1226" s="43">
        <v>6.12</v>
      </c>
      <c r="C1226" s="26" t="s">
        <v>628</v>
      </c>
      <c r="D1226" s="49" t="s">
        <v>1928</v>
      </c>
      <c r="E1226" s="46" t="s">
        <v>1929</v>
      </c>
      <c r="F1226" s="26"/>
      <c r="G1226" s="57" t="s">
        <v>76</v>
      </c>
      <c r="H1226" s="26"/>
      <c r="I1226" s="26"/>
      <c r="J1226" s="26"/>
      <c r="K1226" s="26"/>
    </row>
    <row r="1227" spans="1:11" x14ac:dyDescent="0.25">
      <c r="A1227" s="55"/>
      <c r="B1227" s="43">
        <v>7</v>
      </c>
      <c r="C1227" s="43" t="s">
        <v>319</v>
      </c>
      <c r="D1227" s="46" t="s">
        <v>1930</v>
      </c>
      <c r="E1227" s="57" t="s">
        <v>1931</v>
      </c>
      <c r="F1227" s="26"/>
      <c r="G1227" s="57" t="s">
        <v>76</v>
      </c>
      <c r="H1227" s="26"/>
      <c r="I1227" s="26"/>
      <c r="J1227" s="26"/>
      <c r="K1227" s="26"/>
    </row>
  </sheetData>
  <autoFilter ref="B1:K1227" xr:uid="{2989E267-41E3-418E-B0D3-C646415DF5F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Biju Nathan</dc:creator>
  <cp:lastModifiedBy>Chandrasen Wadikar</cp:lastModifiedBy>
  <dcterms:created xsi:type="dcterms:W3CDTF">2017-12-14T12:04:43Z</dcterms:created>
  <dcterms:modified xsi:type="dcterms:W3CDTF">2018-03-22T12:08:11Z</dcterms:modified>
</cp:coreProperties>
</file>